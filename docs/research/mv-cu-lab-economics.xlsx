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Исходные" sheetId="2" state="visible" r:id="rId4"/>
    <sheet name="Экономика" sheetId="3" state="visible" r:id="rId5"/>
    <sheet name="Доза-отклик" sheetId="4" state="visible" r:id="rId6"/>
    <sheet name="Чувствительность" sheetId="5" state="visible" r:id="rId7"/>
    <sheet name="Скоринг составов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<sst xmlns="http://schemas.openxmlformats.org/spreadsheetml/2006/main" count="207" uniqueCount="175">
  <si>
    <t xml:space="preserve">Калькулятор МВ-Cu: выбор дозы и экономическая эффективность</t>
  </si>
  <si>
    <t xml:space="preserve">Как пользоваться</t>
  </si>
  <si>
    <t xml:space="preserve">1. Лист «Исходные»: замените синие значения на жёлтом фоне данными своей фабрики и результатами испытаний.</t>
  </si>
  <si>
    <t xml:space="preserve">2. Лист «Доза-отклик»: внесите результаты лабораторных опытов по каждой дозе (синие ячейки). Оптимальная доза считается автоматически.</t>
  </si>
  <si>
    <t xml:space="preserve">3. Лист «Экономика»: годовой эффект при дозе из листа «Исходные». Сюда же выведены точки безубыточности.</t>
  </si>
  <si>
    <t xml:space="preserve">4. Лист «Чувствительность»: чистый эффект при разных приростах производительности, ценах реагента и меди.</t>
  </si>
  <si>
    <t xml:space="preserve">5. Лист «Скоринг составов»: сравнение кандидатов после этапов 0–4 методики. Флотация, сгущение и Ca-стабильность — обязательные барьеры (1 = прошёл, 0 = не прошёл).</t>
  </si>
  <si>
    <t xml:space="preserve">Цветовые обозначения</t>
  </si>
  <si>
    <t xml:space="preserve">Синий текст — вводимые значения. Жёлтый фон — ключевые допущения, заменить своими данными.</t>
  </si>
  <si>
    <t xml:space="preserve">Чёрный текст — формулы. Зелёный текст — ссылки на другой лист.</t>
  </si>
  <si>
    <t xml:space="preserve">ВАЖНО: все числа во вводимых ячейках — ПРИМЕР (иллюстративные допущения), а не данные испытаний или котировки.</t>
  </si>
  <si>
    <t xml:space="preserve">Цены меди, реагента, флокулянта и электроэнергии нужно заменить актуальными котировками и тарифами. Эффекты (прирост производительности, извлечения) — результатами опытов.</t>
  </si>
  <si>
    <t xml:space="preserve">Методика испытаний: docs/research/copper-mill-viscosity-modifier-lab-methodology.md</t>
  </si>
  <si>
    <t xml:space="preserve">Исходные данные (ПРИМЕР — заменить данными фабрики и результатами испытаний)</t>
  </si>
  <si>
    <t xml:space="preserve">Параметр</t>
  </si>
  <si>
    <t xml:space="preserve">Значение</t>
  </si>
  <si>
    <t xml:space="preserve">Ед. изм.</t>
  </si>
  <si>
    <t xml:space="preserve">Источник / комментарий</t>
  </si>
  <si>
    <t xml:space="preserve">Базовая производительность секции (мельницы)</t>
  </si>
  <si>
    <t xml:space="preserve">т/ч</t>
  </si>
  <si>
    <t xml:space="preserve">Допущение для примера; взять из отчётов фабрики</t>
  </si>
  <si>
    <t xml:space="preserve">Часы работы в год</t>
  </si>
  <si>
    <t xml:space="preserve">ч/год</t>
  </si>
  <si>
    <t xml:space="preserve">Допущение: около 91 % готовности</t>
  </si>
  <si>
    <t xml:space="preserve">Содержание Cu в руде</t>
  </si>
  <si>
    <t xml:space="preserve">доля</t>
  </si>
  <si>
    <t xml:space="preserve">Допущение: 0,50 % Cu</t>
  </si>
  <si>
    <t xml:space="preserve">Извлечение Cu базовое</t>
  </si>
  <si>
    <t xml:space="preserve">Допущение</t>
  </si>
  <si>
    <t xml:space="preserve">Оплачиваемая доля Cu в концентрате</t>
  </si>
  <si>
    <t xml:space="preserve">Допущение; по контракту на концентрат</t>
  </si>
  <si>
    <t xml:space="preserve">Цена Cu</t>
  </si>
  <si>
    <t xml:space="preserve">$/т</t>
  </si>
  <si>
    <t xml:space="preserve">Допущение; заменить текущей котировкой LME</t>
  </si>
  <si>
    <t xml:space="preserve">TC/RC, фрахт, штрафы</t>
  </si>
  <si>
    <t xml:space="preserve">доля выручки</t>
  </si>
  <si>
    <t xml:space="preserve">Переменные затраты на дополнительную тонну руды (добыча + переработка, без МВ-Cu)</t>
  </si>
  <si>
    <t xml:space="preserve">Допущение; из бюджета фабрики. Если руда на складе уже добыта — только переработка</t>
  </si>
  <si>
    <t xml:space="preserve">Мельница — узкое место? (1 = да, 0 = нет)</t>
  </si>
  <si>
    <t xml:space="preserve">флаг</t>
  </si>
  <si>
    <t xml:space="preserve">1 — эффект считаем как прирост производительности; 0 — как экономию электроэнергии</t>
  </si>
  <si>
    <t xml:space="preserve">Удельный расход энергии на измельчение</t>
  </si>
  <si>
    <t xml:space="preserve">кВт·ч/т</t>
  </si>
  <si>
    <t xml:space="preserve">Допущение; по учёту фабрики (МСИ + шаровая)</t>
  </si>
  <si>
    <t xml:space="preserve">Цена электроэнергии</t>
  </si>
  <si>
    <t xml:space="preserve">$/кВт·ч</t>
  </si>
  <si>
    <t xml:space="preserve">Допущение; тариф предприятия</t>
  </si>
  <si>
    <t xml:space="preserve">Доза МВ-Cu по активному веществу</t>
  </si>
  <si>
    <t xml:space="preserve">г/т</t>
  </si>
  <si>
    <t xml:space="preserve">Стартовая доза из отчёта; уточнить по листу «Доза-отклик»</t>
  </si>
  <si>
    <t xml:space="preserve">Содержание активного вещества в товарном продукте</t>
  </si>
  <si>
    <t xml:space="preserve">Рецептура МВ-Cu: 38 ± 2 %</t>
  </si>
  <si>
    <t xml:space="preserve">Цена товарного продукта МВ-Cu (с доставкой)</t>
  </si>
  <si>
    <t xml:space="preserve">$/кг</t>
  </si>
  <si>
    <t xml:space="preserve">Допущение; заменить котировкой поставщика/производителя</t>
  </si>
  <si>
    <t xml:space="preserve">Прирост производительности по лабораторным данным</t>
  </si>
  <si>
    <t xml:space="preserve">Из этапа 2 методики: t80(холостой)/t80(реагент) − 1 при рабочей плотности +3 п.п.</t>
  </si>
  <si>
    <t xml:space="preserve">Снижение удельной энергии по лабораторным данным (если мельница не узкое место)</t>
  </si>
  <si>
    <t xml:space="preserve">Из этапа 2 методики: 1 − E80(реагент)/E80(холостой)</t>
  </si>
  <si>
    <t xml:space="preserve">Прирост извлечения Cu по лабораторным данным</t>
  </si>
  <si>
    <t xml:space="preserve">абс. доля</t>
  </si>
  <si>
    <t xml:space="preserve">Из этапа 3 методики; принять 0, если разница статистически незначима</t>
  </si>
  <si>
    <t xml:space="preserve">Изменение расхода флокулянта (+ рост, − снижение)</t>
  </si>
  <si>
    <t xml:space="preserve">г/т руды</t>
  </si>
  <si>
    <t xml:space="preserve">Из этапа 4 методики</t>
  </si>
  <si>
    <t xml:space="preserve">Цена флокулянта</t>
  </si>
  <si>
    <t xml:space="preserve">Коэффициент переноса лаборатория → промышленность</t>
  </si>
  <si>
    <t xml:space="preserve">Консервативное допущение автора; уточняется промышленными испытаниями</t>
  </si>
  <si>
    <t xml:space="preserve">Капзатраты: узел хранения и дозирования</t>
  </si>
  <si>
    <t xml:space="preserve">$</t>
  </si>
  <si>
    <t xml:space="preserve">Допущение: ёмкость, насосы-дозаторы, КИП, монтаж</t>
  </si>
  <si>
    <t xml:space="preserve">Годовой экономический эффект МВ-Cu</t>
  </si>
  <si>
    <t xml:space="preserve">Показатель</t>
  </si>
  <si>
    <t xml:space="preserve">Формула / комментарий</t>
  </si>
  <si>
    <t xml:space="preserve">Базовая переработка руды</t>
  </si>
  <si>
    <t xml:space="preserve">т/год</t>
  </si>
  <si>
    <t xml:space="preserve">Q0 × H</t>
  </si>
  <si>
    <t xml:space="preserve">Выручка NSR на 1 т руды</t>
  </si>
  <si>
    <t xml:space="preserve">Cu × R × payable × цена × (1 − TC/RC)</t>
  </si>
  <si>
    <t xml:space="preserve">Маржа на дополнительную тонну руды</t>
  </si>
  <si>
    <t xml:space="preserve">NSR − переменные затраты</t>
  </si>
  <si>
    <t xml:space="preserve">Прирост производительности (применённый)</t>
  </si>
  <si>
    <t xml:space="preserve">Лабораторный × коэффициент переноса; только если мельница — узкое место</t>
  </si>
  <si>
    <t xml:space="preserve">Снижение удельной энергии (применённое)</t>
  </si>
  <si>
    <t xml:space="preserve">Только если мельница не узкое место</t>
  </si>
  <si>
    <t xml:space="preserve">Прирост извлечения (применённый)</t>
  </si>
  <si>
    <t xml:space="preserve">Лабораторный × коэффициент переноса</t>
  </si>
  <si>
    <t xml:space="preserve">Переработка с МВ-Cu</t>
  </si>
  <si>
    <t xml:space="preserve">Расход товарного продукта</t>
  </si>
  <si>
    <t xml:space="preserve">Доза по активу / доля актива</t>
  </si>
  <si>
    <t xml:space="preserve">Стоимость МВ-Cu на 1 т руды</t>
  </si>
  <si>
    <t xml:space="preserve">Изменение затрат на флокулянт на 1 т руды</t>
  </si>
  <si>
    <t xml:space="preserve">Потребность в товарном продукте</t>
  </si>
  <si>
    <t xml:space="preserve">Для заказа и складских запасов</t>
  </si>
  <si>
    <t xml:space="preserve">Выгода: прирост производительности</t>
  </si>
  <si>
    <t xml:space="preserve">$/год</t>
  </si>
  <si>
    <t xml:space="preserve">ΔQ × маржа</t>
  </si>
  <si>
    <t xml:space="preserve">Выгода: экономия электроэнергии</t>
  </si>
  <si>
    <t xml:space="preserve">Выгода: прирост извлечения</t>
  </si>
  <si>
    <t xml:space="preserve">Затраты: МВ-Cu</t>
  </si>
  <si>
    <t xml:space="preserve">Затраты: изменение расхода флокулянта</t>
  </si>
  <si>
    <t xml:space="preserve">ЧИСТЫЙ ГОДОВОЙ ЭФФЕКТ</t>
  </si>
  <si>
    <t xml:space="preserve">Чистый эффект на 1 т переработанной руды</t>
  </si>
  <si>
    <t xml:space="preserve">Отдача на 1 $ затрат на реагент</t>
  </si>
  <si>
    <t xml:space="preserve">x</t>
  </si>
  <si>
    <t xml:space="preserve">Выгоды / затраты на МВ-Cu</t>
  </si>
  <si>
    <t xml:space="preserve">Срок окупаемости капзатрат</t>
  </si>
  <si>
    <t xml:space="preserve">мес.</t>
  </si>
  <si>
    <t xml:space="preserve">Точки безубыточности</t>
  </si>
  <si>
    <t xml:space="preserve">Минимальный прирост производительности (без эффекта извлечения)</t>
  </si>
  <si>
    <t xml:space="preserve">δ·m = (1+δ)·c  →  δ = c/(m − c)</t>
  </si>
  <si>
    <t xml:space="preserve">Минимальный прирост извлечения (при той же производительности)</t>
  </si>
  <si>
    <t xml:space="preserve">Минимальная экономия энергии (при той же производительности)</t>
  </si>
  <si>
    <t xml:space="preserve">Больше 100 % — экономия энергии сама по себе реагент не окупает</t>
  </si>
  <si>
    <t xml:space="preserve">Максимальная цена продукта, при которой эффект ≥ 0</t>
  </si>
  <si>
    <t xml:space="preserve">Подбор дозы по лабораторным данным (ПРИМЕР — заменить результатами этапа 5 методики)</t>
  </si>
  <si>
    <t xml:space="preserve">Вводить: доза, t80, ΔCw, прирост извлечения и отметки барьеров. Остальное считается. Первая строка — холостой опыт (доза 0).</t>
  </si>
  <si>
    <t xml:space="preserve">Доза по активу, г/т</t>
  </si>
  <si>
    <t xml:space="preserve">t80 до целевой P80, мин (Cw рабочая +3 п.п.)</t>
  </si>
  <si>
    <t xml:space="preserve">ΔCw при равном τy, п.п.</t>
  </si>
  <si>
    <t xml:space="preserve">Прирост извлечения (лаб.), абс.</t>
  </si>
  <si>
    <t xml:space="preserve">Флотация: барьер пройден (1/0)</t>
  </si>
  <si>
    <t xml:space="preserve">Сгущение: барьер пройден (1/0)</t>
  </si>
  <si>
    <t xml:space="preserve">Прирост производительности (лаб.)</t>
  </si>
  <si>
    <t xml:space="preserve">Прирост производительности (примен.)</t>
  </si>
  <si>
    <t xml:space="preserve">Переработка, т/год</t>
  </si>
  <si>
    <t xml:space="preserve">Выгода: производительность, $/год</t>
  </si>
  <si>
    <t xml:space="preserve">Выгода: извлечение, $/год</t>
  </si>
  <si>
    <t xml:space="preserve">Затраты: МВ-Cu, $/год</t>
  </si>
  <si>
    <t xml:space="preserve">Чистый эффект, $/год</t>
  </si>
  <si>
    <t xml:space="preserve">Чистый эффект (только допустимые дозы), $/год</t>
  </si>
  <si>
    <t xml:space="preserve">Экономически оптимальная доза (среди допустимых), г/т</t>
  </si>
  <si>
    <t xml:space="preserve">Чистый эффект при оптимальной дозе, $/год</t>
  </si>
  <si>
    <t xml:space="preserve">Максимальная безопасная доза (наибольшая доза, прошедшая оба барьера), г/т</t>
  </si>
  <si>
    <t xml:space="preserve">Запас по дозе: безопасная / оптимальная (требование методики ≥ 3; если ниже — выбрать меньшую дозу)</t>
  </si>
  <si>
    <t xml:space="preserve">Примечания: прирост производительности (лаб.) = t80 холостого / t80 с реагентом − 1 при одинаковой плотности пульпы. «Барьер пройден» = разница с холостым опытом в пределах критериев раздела 9 методики. Колонка N пустая для доз, не прошедших барьеры.</t>
  </si>
  <si>
    <t xml:space="preserve">Чувствительность чистого годового эффекта, $/год</t>
  </si>
  <si>
    <t xml:space="preserve">Прочие параметры берутся из листа «Исходные» (доза, извлечение, флокулянт, коэффициент переноса для прироста извлечения). Прирост производительности в таблицах — уже применённый (промышленный).</t>
  </si>
  <si>
    <t xml:space="preserve">Таблица 1. Прирост производительности (строки) × цена продукта МВ-Cu, $/кг (столбцы)</t>
  </si>
  <si>
    <t xml:space="preserve">ΔQ \ цена</t>
  </si>
  <si>
    <t xml:space="preserve">Таблица 2. Прирост производительности (строки) × цена меди, $/т (столбцы)</t>
  </si>
  <si>
    <t xml:space="preserve">ΔQ \ цена Cu</t>
  </si>
  <si>
    <t xml:space="preserve">Сравнение составов-кандидатов при дозе 50 г/т по активу (ПРИМЕР — заменить результатами этапов 0–4)</t>
  </si>
  <si>
    <t xml:space="preserve">Барьеры (1/0): составы, не прошедшие хотя бы один барьер, получают 0 баллов. Веса критериев — в строке 3, редактируемые.</t>
  </si>
  <si>
    <t xml:space="preserve">Веса →</t>
  </si>
  <si>
    <t xml:space="preserve">Код</t>
  </si>
  <si>
    <t xml:space="preserve">Состав</t>
  </si>
  <si>
    <t xml:space="preserve">Снижение τy, % (этап 1)</t>
  </si>
  <si>
    <t xml:space="preserve">ΔCw, п.п. (этап 1)</t>
  </si>
  <si>
    <t xml:space="preserve">Сокращение t80, % (этап 2)</t>
  </si>
  <si>
    <t xml:space="preserve">Ca-стабильность (1/0, этап 0)</t>
  </si>
  <si>
    <t xml:space="preserve">Флотация (1/0, этап 3)</t>
  </si>
  <si>
    <t xml:space="preserve">Сгущение (1/0, этап 4)</t>
  </si>
  <si>
    <t xml:space="preserve">Цена продукта, $/кг</t>
  </si>
  <si>
    <t xml:space="preserve">Доля актива</t>
  </si>
  <si>
    <t xml:space="preserve">Стоимость, $/т руды</t>
  </si>
  <si>
    <t xml:space="preserve">Балл</t>
  </si>
  <si>
    <t xml:space="preserve">Место</t>
  </si>
  <si>
    <t xml:space="preserve">R1</t>
  </si>
  <si>
    <t xml:space="preserve">Na-полиакрилат, Mw около 5 тыс.</t>
  </si>
  <si>
    <t xml:space="preserve">R2</t>
  </si>
  <si>
    <t xml:space="preserve">АК/AMPS 90:10</t>
  </si>
  <si>
    <t xml:space="preserve">R3</t>
  </si>
  <si>
    <t xml:space="preserve">АК/AMPS 75:25 (компонент A)</t>
  </si>
  <si>
    <t xml:space="preserve">R4</t>
  </si>
  <si>
    <t xml:space="preserve">АК/AMPS 60:40</t>
  </si>
  <si>
    <t xml:space="preserve">R5</t>
  </si>
  <si>
    <t xml:space="preserve">Терполимер АК/AMPS/т-БАА (компонент B)</t>
  </si>
  <si>
    <t xml:space="preserve">R6</t>
  </si>
  <si>
    <t xml:space="preserve">МВ-Cu-S (A:B = 30:8)</t>
  </si>
  <si>
    <t xml:space="preserve">R7</t>
  </si>
  <si>
    <t xml:space="preserve">АК/AHPSE</t>
  </si>
  <si>
    <t xml:space="preserve">R8</t>
  </si>
  <si>
    <t xml:space="preserve">Коммерческий эталон</t>
  </si>
  <si>
    <t xml:space="preserve">Балл = барьеры × (w1·ΔCw/max + w2·Δt80/max + w3·min(стоимость)/стоимость). Снижение τy — справочно. Цены и эффекты в примере — иллюстративные.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</si>
</sst>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;\(#,##0\);\-"/>
    <numFmt numFmtId="166" formatCode="0.00%;\(0.00%\);\-"/>
    <numFmt numFmtId="167" formatCode="0.0%;\(0.0%\);\-"/>
    <numFmt numFmtId="168" formatCode="\$#,##0;&quot;($&quot;#,##0\);\-"/>
    <numFmt numFmtId="169" formatCode="\$#,##0.000;&quot;($&quot;#,##0.000\);\-"/>
    <numFmt numFmtId="170" formatCode="0"/>
    <numFmt numFmtId="171" formatCode="#,##0.0;\(#,##0.0\);\-"/>
    <numFmt numFmtId="172" formatCode="\$#,##0.000"/>
    <numFmt numFmtId="173" formatCode="\$#,##0.00"/>
    <numFmt numFmtId="174" formatCode="0.000%;\(0.000%\);\-"/>
    <numFmt numFmtId="175" formatCode="0.0\x"/>
    <numFmt numFmtId="176" formatCode="0.000%"/>
    <numFmt numFmtId="177" formatCode="#,##0.00;\(#,##0.00\);\-"/>
    <numFmt numFmtId="178" formatCode="0.00"/>
    <numFmt numFmtId="17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26.8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6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4" t="s">
        <v>13</v>
      </c>
      <c r="B1" s="5"/>
      <c r="C1" s="5"/>
      <c r="D1" s="5"/>
    </row>
    <row r="2" customFormat="false" ht="15" hidden="false" customHeight="false" outlineLevel="0" collapsed="false">
      <c r="A2" s="5"/>
      <c r="B2" s="5"/>
      <c r="C2" s="5"/>
      <c r="D2" s="5"/>
    </row>
    <row r="3" customFormat="false" ht="15" hidden="false" customHeight="false" outlineLevel="0" collapsed="false">
      <c r="A3" s="6" t="s">
        <v>14</v>
      </c>
      <c r="B3" s="6" t="s">
        <v>15</v>
      </c>
      <c r="C3" s="6" t="s">
        <v>16</v>
      </c>
      <c r="D3" s="6" t="s">
        <v>17</v>
      </c>
    </row>
    <row r="4" customFormat="false" ht="15" hidden="false" customHeight="false" outlineLevel="0" collapsed="false">
      <c r="A4" s="7" t="s">
        <v>18</v>
      </c>
      <c r="B4" s="8" t="n">
        <v>1000</v>
      </c>
      <c r="C4" s="7" t="s">
        <v>19</v>
      </c>
      <c r="D4" s="7" t="s">
        <v>20</v>
      </c>
    </row>
    <row r="5" customFormat="false" ht="15" hidden="false" customHeight="false" outlineLevel="0" collapsed="false">
      <c r="A5" s="7" t="s">
        <v>21</v>
      </c>
      <c r="B5" s="8" t="n">
        <v>8000</v>
      </c>
      <c r="C5" s="7" t="s">
        <v>22</v>
      </c>
      <c r="D5" s="7" t="s">
        <v>23</v>
      </c>
    </row>
    <row r="6" customFormat="false" ht="15" hidden="false" customHeight="false" outlineLevel="0" collapsed="false">
      <c r="A6" s="7" t="s">
        <v>24</v>
      </c>
      <c r="B6" s="9" t="n">
        <v>0.005</v>
      </c>
      <c r="C6" s="7" t="s">
        <v>25</v>
      </c>
      <c r="D6" s="7" t="s">
        <v>26</v>
      </c>
    </row>
    <row r="7" customFormat="false" ht="15" hidden="false" customHeight="false" outlineLevel="0" collapsed="false">
      <c r="A7" s="7" t="s">
        <v>27</v>
      </c>
      <c r="B7" s="10" t="n">
        <v>0.88</v>
      </c>
      <c r="C7" s="7" t="s">
        <v>25</v>
      </c>
      <c r="D7" s="7" t="s">
        <v>28</v>
      </c>
    </row>
    <row r="8" customFormat="false" ht="15" hidden="false" customHeight="false" outlineLevel="0" collapsed="false">
      <c r="A8" s="7" t="s">
        <v>29</v>
      </c>
      <c r="B8" s="10" t="n">
        <v>0.965</v>
      </c>
      <c r="C8" s="7" t="s">
        <v>25</v>
      </c>
      <c r="D8" s="7" t="s">
        <v>30</v>
      </c>
    </row>
    <row r="9" customFormat="false" ht="15" hidden="false" customHeight="false" outlineLevel="0" collapsed="false">
      <c r="A9" s="7" t="s">
        <v>31</v>
      </c>
      <c r="B9" s="11" t="n">
        <v>9500</v>
      </c>
      <c r="C9" s="7" t="s">
        <v>32</v>
      </c>
      <c r="D9" s="7" t="s">
        <v>33</v>
      </c>
    </row>
    <row r="10" customFormat="false" ht="15" hidden="false" customHeight="false" outlineLevel="0" collapsed="false">
      <c r="A10" s="7" t="s">
        <v>34</v>
      </c>
      <c r="B10" s="10" t="n">
        <v>0.15</v>
      </c>
      <c r="C10" s="7" t="s">
        <v>35</v>
      </c>
      <c r="D10" s="7" t="s">
        <v>30</v>
      </c>
    </row>
    <row r="11" customFormat="false" ht="26.85" hidden="false" customHeight="false" outlineLevel="0" collapsed="false">
      <c r="A11" s="7" t="s">
        <v>36</v>
      </c>
      <c r="B11" s="12" t="n">
        <v>12</v>
      </c>
      <c r="C11" s="7" t="s">
        <v>32</v>
      </c>
      <c r="D11" s="7" t="s">
        <v>37</v>
      </c>
    </row>
    <row r="12" customFormat="false" ht="15" hidden="false" customHeight="false" outlineLevel="0" collapsed="false">
      <c r="A12" s="7" t="s">
        <v>38</v>
      </c>
      <c r="B12" s="13" t="n">
        <v>1</v>
      </c>
      <c r="C12" s="7" t="s">
        <v>39</v>
      </c>
      <c r="D12" s="7" t="s">
        <v>40</v>
      </c>
    </row>
    <row r="13" customFormat="false" ht="15" hidden="false" customHeight="false" outlineLevel="0" collapsed="false">
      <c r="A13" s="7" t="s">
        <v>41</v>
      </c>
      <c r="B13" s="14" t="n">
        <v>14</v>
      </c>
      <c r="C13" s="7" t="s">
        <v>42</v>
      </c>
      <c r="D13" s="7" t="s">
        <v>43</v>
      </c>
    </row>
    <row r="14" customFormat="false" ht="15" hidden="false" customHeight="false" outlineLevel="0" collapsed="false">
      <c r="A14" s="7" t="s">
        <v>44</v>
      </c>
      <c r="B14" s="15" t="n">
        <v>0.06</v>
      </c>
      <c r="C14" s="7" t="s">
        <v>45</v>
      </c>
      <c r="D14" s="7" t="s">
        <v>46</v>
      </c>
    </row>
    <row r="15" customFormat="false" ht="15" hidden="false" customHeight="false" outlineLevel="0" collapsed="false">
      <c r="A15" s="7" t="s">
        <v>47</v>
      </c>
      <c r="B15" s="8" t="n">
        <v>50</v>
      </c>
      <c r="C15" s="7" t="s">
        <v>48</v>
      </c>
      <c r="D15" s="7" t="s">
        <v>49</v>
      </c>
    </row>
    <row r="16" customFormat="false" ht="15" hidden="false" customHeight="false" outlineLevel="0" collapsed="false">
      <c r="A16" s="7" t="s">
        <v>50</v>
      </c>
      <c r="B16" s="10" t="n">
        <v>0.38</v>
      </c>
      <c r="C16" s="7" t="s">
        <v>25</v>
      </c>
      <c r="D16" s="7" t="s">
        <v>51</v>
      </c>
    </row>
    <row r="17" customFormat="false" ht="15" hidden="false" customHeight="false" outlineLevel="0" collapsed="false">
      <c r="A17" s="7" t="s">
        <v>52</v>
      </c>
      <c r="B17" s="16" t="n">
        <v>2.5</v>
      </c>
      <c r="C17" s="7" t="s">
        <v>53</v>
      </c>
      <c r="D17" s="7" t="s">
        <v>54</v>
      </c>
    </row>
    <row r="18" customFormat="false" ht="15" hidden="false" customHeight="false" outlineLevel="0" collapsed="false">
      <c r="A18" s="7" t="s">
        <v>55</v>
      </c>
      <c r="B18" s="10" t="n">
        <v>0.06</v>
      </c>
      <c r="C18" s="7" t="s">
        <v>25</v>
      </c>
      <c r="D18" s="7" t="s">
        <v>56</v>
      </c>
    </row>
    <row r="19" customFormat="false" ht="26.85" hidden="false" customHeight="false" outlineLevel="0" collapsed="false">
      <c r="A19" s="7" t="s">
        <v>57</v>
      </c>
      <c r="B19" s="10" t="n">
        <v>0.06</v>
      </c>
      <c r="C19" s="7" t="s">
        <v>25</v>
      </c>
      <c r="D19" s="7" t="s">
        <v>58</v>
      </c>
    </row>
    <row r="20" customFormat="false" ht="15" hidden="false" customHeight="false" outlineLevel="0" collapsed="false">
      <c r="A20" s="7" t="s">
        <v>59</v>
      </c>
      <c r="B20" s="9" t="n">
        <v>0.002</v>
      </c>
      <c r="C20" s="7" t="s">
        <v>60</v>
      </c>
      <c r="D20" s="7" t="s">
        <v>61</v>
      </c>
    </row>
    <row r="21" customFormat="false" ht="15" hidden="false" customHeight="false" outlineLevel="0" collapsed="false">
      <c r="A21" s="7" t="s">
        <v>62</v>
      </c>
      <c r="B21" s="14" t="n">
        <v>0</v>
      </c>
      <c r="C21" s="7" t="s">
        <v>63</v>
      </c>
      <c r="D21" s="7" t="s">
        <v>64</v>
      </c>
    </row>
    <row r="22" customFormat="false" ht="15" hidden="false" customHeight="false" outlineLevel="0" collapsed="false">
      <c r="A22" s="7" t="s">
        <v>65</v>
      </c>
      <c r="B22" s="16" t="n">
        <v>3.5</v>
      </c>
      <c r="C22" s="7" t="s">
        <v>53</v>
      </c>
      <c r="D22" s="7" t="s">
        <v>28</v>
      </c>
    </row>
    <row r="23" customFormat="false" ht="15" hidden="false" customHeight="false" outlineLevel="0" collapsed="false">
      <c r="A23" s="7" t="s">
        <v>66</v>
      </c>
      <c r="B23" s="10" t="n">
        <v>0.5</v>
      </c>
      <c r="C23" s="7" t="s">
        <v>25</v>
      </c>
      <c r="D23" s="7" t="s">
        <v>67</v>
      </c>
    </row>
    <row r="24" customFormat="false" ht="15" hidden="false" customHeight="false" outlineLevel="0" collapsed="false">
      <c r="A24" s="7" t="s">
        <v>68</v>
      </c>
      <c r="B24" s="11" t="n">
        <v>150000</v>
      </c>
      <c r="C24" s="7" t="s">
        <v>69</v>
      </c>
      <c r="D24" s="7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4" t="s">
        <v>71</v>
      </c>
      <c r="B1" s="5"/>
      <c r="C1" s="5"/>
      <c r="D1" s="5"/>
    </row>
    <row r="2" customFormat="false" ht="15" hidden="false" customHeight="false" outlineLevel="0" collapsed="false">
      <c r="A2" s="5"/>
      <c r="B2" s="5"/>
      <c r="C2" s="5"/>
      <c r="D2" s="5"/>
    </row>
    <row r="3" customFormat="false" ht="15" hidden="false" customHeight="false" outlineLevel="0" collapsed="false">
      <c r="A3" s="6" t="s">
        <v>72</v>
      </c>
      <c r="B3" s="6" t="s">
        <v>15</v>
      </c>
      <c r="C3" s="6" t="s">
        <v>16</v>
      </c>
      <c r="D3" s="6" t="s">
        <v>73</v>
      </c>
    </row>
    <row r="4" customFormat="false" ht="15" hidden="false" customHeight="false" outlineLevel="0" collapsed="false">
      <c r="A4" s="7" t="s">
        <v>74</v>
      </c>
      <c r="B4" s="17" t="n">
        <f aca="false">Исходные!$B$4*Исходные!$B$5</f>
        <v>8000000</v>
      </c>
      <c r="C4" s="7" t="s">
        <v>75</v>
      </c>
      <c r="D4" s="7" t="s">
        <v>76</v>
      </c>
    </row>
    <row r="5" customFormat="false" ht="15" hidden="false" customHeight="false" outlineLevel="0" collapsed="false">
      <c r="A5" s="7" t="s">
        <v>77</v>
      </c>
      <c r="B5" s="18" t="n">
        <f aca="false">Исходные!$B$6*Исходные!$B$7*Исходные!$B$8*Исходные!$B$9*(1-Исходные!$B$10)</f>
        <v>34.28645</v>
      </c>
      <c r="C5" s="7" t="s">
        <v>32</v>
      </c>
      <c r="D5" s="7" t="s">
        <v>78</v>
      </c>
    </row>
    <row r="6" customFormat="false" ht="15" hidden="false" customHeight="false" outlineLevel="0" collapsed="false">
      <c r="A6" s="7" t="s">
        <v>79</v>
      </c>
      <c r="B6" s="19" t="n">
        <f aca="false">B5-Исходные!$B$11</f>
        <v>22.28645</v>
      </c>
      <c r="C6" s="7" t="s">
        <v>32</v>
      </c>
      <c r="D6" s="7" t="s">
        <v>80</v>
      </c>
    </row>
    <row r="7" customFormat="false" ht="26.85" hidden="false" customHeight="false" outlineLevel="0" collapsed="false">
      <c r="A7" s="7" t="s">
        <v>81</v>
      </c>
      <c r="B7" s="20" t="n">
        <f aca="false">IF(Исходные!$B$12=1,Исходные!$B$18*Исходные!$B$23,0)</f>
        <v>0.03</v>
      </c>
      <c r="C7" s="7" t="s">
        <v>25</v>
      </c>
      <c r="D7" s="7" t="s">
        <v>82</v>
      </c>
    </row>
    <row r="8" customFormat="false" ht="15" hidden="false" customHeight="false" outlineLevel="0" collapsed="false">
      <c r="A8" s="7" t="s">
        <v>83</v>
      </c>
      <c r="B8" s="20" t="n">
        <f aca="false">IF(Исходные!$B$12=1,0,Исходные!$B$19*Исходные!$B$23)</f>
        <v>0</v>
      </c>
      <c r="C8" s="7" t="s">
        <v>25</v>
      </c>
      <c r="D8" s="7" t="s">
        <v>84</v>
      </c>
    </row>
    <row r="9" customFormat="false" ht="15" hidden="false" customHeight="false" outlineLevel="0" collapsed="false">
      <c r="A9" s="7" t="s">
        <v>85</v>
      </c>
      <c r="B9" s="21" t="n">
        <f aca="false">Исходные!$B$20*Исходные!$B$23</f>
        <v>0.001</v>
      </c>
      <c r="C9" s="7" t="s">
        <v>60</v>
      </c>
      <c r="D9" s="7" t="s">
        <v>86</v>
      </c>
    </row>
    <row r="10" customFormat="false" ht="15" hidden="false" customHeight="false" outlineLevel="0" collapsed="false">
      <c r="A10" s="7" t="s">
        <v>87</v>
      </c>
      <c r="B10" s="22" t="n">
        <f aca="false">B4*(1+B7)</f>
        <v>8240000</v>
      </c>
      <c r="C10" s="7" t="s">
        <v>75</v>
      </c>
      <c r="D10" s="7"/>
    </row>
    <row r="11" customFormat="false" ht="15" hidden="false" customHeight="false" outlineLevel="0" collapsed="false">
      <c r="A11" s="7" t="s">
        <v>88</v>
      </c>
      <c r="B11" s="23" t="n">
        <f aca="false">Исходные!$B$15/Исходные!$B$16</f>
        <v>131.578947368421</v>
      </c>
      <c r="C11" s="7" t="s">
        <v>63</v>
      </c>
      <c r="D11" s="7" t="s">
        <v>89</v>
      </c>
    </row>
    <row r="12" customFormat="false" ht="15" hidden="false" customHeight="false" outlineLevel="0" collapsed="false">
      <c r="A12" s="7" t="s">
        <v>90</v>
      </c>
      <c r="B12" s="19" t="n">
        <f aca="false">B11/1000*Исходные!$B$17</f>
        <v>0.328947368421053</v>
      </c>
      <c r="C12" s="7" t="s">
        <v>32</v>
      </c>
      <c r="D12" s="7"/>
    </row>
    <row r="13" customFormat="false" ht="15" hidden="false" customHeight="false" outlineLevel="0" collapsed="false">
      <c r="A13" s="7" t="s">
        <v>91</v>
      </c>
      <c r="B13" s="18" t="n">
        <f aca="false">Исходные!$B$21/1000*Исходные!$B$22</f>
        <v>0</v>
      </c>
      <c r="C13" s="7" t="s">
        <v>32</v>
      </c>
      <c r="D13" s="7"/>
    </row>
    <row r="14" customFormat="false" ht="15" hidden="false" customHeight="false" outlineLevel="0" collapsed="false">
      <c r="A14" s="7" t="s">
        <v>92</v>
      </c>
      <c r="B14" s="24" t="n">
        <f aca="false">B10*B11/1000000</f>
        <v>1084.21052631579</v>
      </c>
      <c r="C14" s="7" t="s">
        <v>75</v>
      </c>
      <c r="D14" s="7" t="s">
        <v>93</v>
      </c>
    </row>
    <row r="15" customFormat="false" ht="15" hidden="false" customHeight="false" outlineLevel="0" collapsed="false">
      <c r="A15" s="25"/>
      <c r="B15" s="5"/>
      <c r="C15" s="25"/>
      <c r="D15" s="25"/>
    </row>
    <row r="16" customFormat="false" ht="15" hidden="false" customHeight="false" outlineLevel="0" collapsed="false">
      <c r="A16" s="7" t="s">
        <v>94</v>
      </c>
      <c r="B16" s="26" t="n">
        <f aca="false">B4*B7*B6</f>
        <v>5348748</v>
      </c>
      <c r="C16" s="7" t="s">
        <v>95</v>
      </c>
      <c r="D16" s="7" t="s">
        <v>96</v>
      </c>
    </row>
    <row r="17" customFormat="false" ht="15" hidden="false" customHeight="false" outlineLevel="0" collapsed="false">
      <c r="A17" s="7" t="s">
        <v>97</v>
      </c>
      <c r="B17" s="26" t="n">
        <f aca="false">B4*Исходные!$B$13*B8*Исходные!$B$14</f>
        <v>0</v>
      </c>
      <c r="C17" s="7" t="s">
        <v>95</v>
      </c>
      <c r="D17" s="7"/>
    </row>
    <row r="18" customFormat="false" ht="15" hidden="false" customHeight="false" outlineLevel="0" collapsed="false">
      <c r="A18" s="7" t="s">
        <v>98</v>
      </c>
      <c r="B18" s="26" t="n">
        <f aca="false">B10*Исходные!$B$6*B9*Исходные!$B$8*Исходные!$B$9*(1-Исходные!$B$10)</f>
        <v>321045.85</v>
      </c>
      <c r="C18" s="7" t="s">
        <v>95</v>
      </c>
      <c r="D18" s="7"/>
    </row>
    <row r="19" customFormat="false" ht="15" hidden="false" customHeight="false" outlineLevel="0" collapsed="false">
      <c r="A19" s="7" t="s">
        <v>99</v>
      </c>
      <c r="B19" s="26" t="n">
        <f aca="false">-B10*B12</f>
        <v>-2710526.31578947</v>
      </c>
      <c r="C19" s="7" t="s">
        <v>95</v>
      </c>
      <c r="D19" s="7"/>
    </row>
    <row r="20" customFormat="false" ht="15" hidden="false" customHeight="false" outlineLevel="0" collapsed="false">
      <c r="A20" s="7" t="s">
        <v>100</v>
      </c>
      <c r="B20" s="26" t="n">
        <f aca="false">-B10*B13</f>
        <v>-0</v>
      </c>
      <c r="C20" s="7" t="s">
        <v>95</v>
      </c>
      <c r="D20" s="7"/>
    </row>
    <row r="21" customFormat="false" ht="15" hidden="false" customHeight="false" outlineLevel="0" collapsed="false">
      <c r="A21" s="27" t="s">
        <v>101</v>
      </c>
      <c r="B21" s="28" t="n">
        <f aca="false">SUM(B16:B20)</f>
        <v>2959267.53421053</v>
      </c>
      <c r="C21" s="7" t="s">
        <v>95</v>
      </c>
      <c r="D21" s="7"/>
    </row>
    <row r="22" customFormat="false" ht="15" hidden="false" customHeight="false" outlineLevel="0" collapsed="false">
      <c r="A22" s="7" t="s">
        <v>102</v>
      </c>
      <c r="B22" s="19" t="n">
        <f aca="false">IF(B10&gt;0,B21/B10,0)</f>
        <v>0.359134409491569</v>
      </c>
      <c r="C22" s="7" t="s">
        <v>32</v>
      </c>
      <c r="D22" s="7"/>
    </row>
    <row r="23" customFormat="false" ht="15" hidden="false" customHeight="false" outlineLevel="0" collapsed="false">
      <c r="A23" s="7" t="s">
        <v>103</v>
      </c>
      <c r="B23" s="29" t="n">
        <f aca="false">IF(B19&lt;0,(B16+B17+B18)/-B19,0)</f>
        <v>2.09176860485437</v>
      </c>
      <c r="C23" s="7" t="s">
        <v>104</v>
      </c>
      <c r="D23" s="7" t="s">
        <v>105</v>
      </c>
    </row>
    <row r="24" customFormat="false" ht="15" hidden="false" customHeight="false" outlineLevel="0" collapsed="false">
      <c r="A24" s="7" t="s">
        <v>106</v>
      </c>
      <c r="B24" s="24" t="n">
        <f aca="false">IF(B21&gt;0,Исходные!$B$24/(B21/12),"не окупается")</f>
        <v>0.608258624538388</v>
      </c>
      <c r="C24" s="7" t="s">
        <v>107</v>
      </c>
      <c r="D24" s="7"/>
    </row>
    <row r="25" customFormat="false" ht="15" hidden="false" customHeight="false" outlineLevel="0" collapsed="false">
      <c r="A25" s="25"/>
      <c r="B25" s="5"/>
      <c r="C25" s="25"/>
      <c r="D25" s="25"/>
    </row>
    <row r="26" customFormat="false" ht="15" hidden="false" customHeight="false" outlineLevel="0" collapsed="false">
      <c r="A26" s="27" t="s">
        <v>108</v>
      </c>
      <c r="B26" s="30"/>
      <c r="C26" s="7"/>
      <c r="D26" s="7"/>
    </row>
    <row r="27" customFormat="false" ht="15" hidden="false" customHeight="false" outlineLevel="0" collapsed="false">
      <c r="A27" s="7" t="s">
        <v>109</v>
      </c>
      <c r="B27" s="31" t="n">
        <f aca="false">IF(B6&gt;(B12+B13),(B12+B13)/(B6-B12-B13),"недостижим")</f>
        <v>0.0149810920640841</v>
      </c>
      <c r="C27" s="7" t="s">
        <v>25</v>
      </c>
      <c r="D27" s="7" t="s">
        <v>110</v>
      </c>
    </row>
    <row r="28" customFormat="false" ht="15" hidden="false" customHeight="false" outlineLevel="0" collapsed="false">
      <c r="A28" s="7" t="s">
        <v>111</v>
      </c>
      <c r="B28" s="32" t="n">
        <f aca="false">(B12+B13)/(Исходные!$B$6*Исходные!$B$8*Исходные!$B$9*(1-Исходные!$B$10))</f>
        <v>0.00844280128769605</v>
      </c>
      <c r="C28" s="7" t="s">
        <v>60</v>
      </c>
      <c r="D28" s="7"/>
    </row>
    <row r="29" customFormat="false" ht="15" hidden="false" customHeight="false" outlineLevel="0" collapsed="false">
      <c r="A29" s="7" t="s">
        <v>112</v>
      </c>
      <c r="B29" s="33" t="n">
        <f aca="false">(B12+B13)/(Исходные!$B$13*Исходные!$B$14)</f>
        <v>0.391604010025063</v>
      </c>
      <c r="C29" s="7" t="s">
        <v>25</v>
      </c>
      <c r="D29" s="7" t="s">
        <v>113</v>
      </c>
    </row>
    <row r="30" customFormat="false" ht="15" hidden="false" customHeight="false" outlineLevel="0" collapsed="false">
      <c r="A30" s="7" t="s">
        <v>114</v>
      </c>
      <c r="B30" s="34" t="n">
        <f aca="false">IF(B11&gt;0,(B16+B17+B18+B20)/B10/(B11/1000),0)</f>
        <v>5.22942151213592</v>
      </c>
      <c r="C30" s="7" t="s">
        <v>53</v>
      </c>
      <c r="D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3" min="11" style="0" width="14"/>
    <col collapsed="false" customWidth="true" hidden="false" outlineLevel="0" max="14" min="14" style="0" width="17"/>
  </cols>
  <sheetData>
    <row r="1" customFormat="false" ht="16.15" hidden="false" customHeight="false" outlineLevel="0" collapsed="false">
      <c r="A1" s="4" t="s">
        <v>115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25" t="s">
        <v>116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customFormat="false" ht="57.75" hidden="false" customHeight="true" outlineLevel="0" collapsed="false">
      <c r="A4" s="6" t="s">
        <v>117</v>
      </c>
      <c r="B4" s="6" t="s">
        <v>118</v>
      </c>
      <c r="C4" s="6" t="s">
        <v>119</v>
      </c>
      <c r="D4" s="6" t="s">
        <v>120</v>
      </c>
      <c r="E4" s="6" t="s">
        <v>121</v>
      </c>
      <c r="F4" s="6" t="s">
        <v>122</v>
      </c>
      <c r="G4" s="6" t="s">
        <v>123</v>
      </c>
      <c r="H4" s="6" t="s">
        <v>124</v>
      </c>
      <c r="I4" s="6" t="s">
        <v>125</v>
      </c>
      <c r="J4" s="6" t="s">
        <v>126</v>
      </c>
      <c r="K4" s="6" t="s">
        <v>127</v>
      </c>
      <c r="L4" s="6" t="s">
        <v>128</v>
      </c>
      <c r="M4" s="6" t="s">
        <v>129</v>
      </c>
      <c r="N4" s="6" t="s">
        <v>130</v>
      </c>
    </row>
    <row r="5" customFormat="false" ht="15" hidden="false" customHeight="false" outlineLevel="0" collapsed="false">
      <c r="A5" s="35" t="n">
        <v>0</v>
      </c>
      <c r="B5" s="36" t="n">
        <v>12</v>
      </c>
      <c r="C5" s="37" t="n">
        <v>0</v>
      </c>
      <c r="D5" s="38" t="n">
        <v>0</v>
      </c>
      <c r="E5" s="39" t="n">
        <v>1</v>
      </c>
      <c r="F5" s="39" t="n">
        <v>1</v>
      </c>
      <c r="G5" s="40" t="n">
        <f aca="false">IF(B5&gt;0,$B$5/B5-1,0)</f>
        <v>0</v>
      </c>
      <c r="H5" s="40" t="n">
        <f aca="false">IF(Исходные!$B$12=1,G5*Исходные!$B$23,0)</f>
        <v>0</v>
      </c>
      <c r="I5" s="41" t="n">
        <f aca="false">Исходные!$B$4*Исходные!$B$5*(1+H5)</f>
        <v>8000000</v>
      </c>
      <c r="J5" s="42" t="n">
        <f aca="false">Исходные!$B$4*Исходные!$B$5*H5*(Экономика!$B$6)</f>
        <v>0</v>
      </c>
      <c r="K5" s="42" t="n">
        <f aca="false">I5*Исходные!$B$6*D5*Исходные!$B$23*Исходные!$B$8*Исходные!$B$9*(1-Исходные!$B$10)</f>
        <v>0</v>
      </c>
      <c r="L5" s="42" t="n">
        <f aca="false">-I5*A5/Исходные!$B$16/1000*Исходные!$B$17</f>
        <v>-0</v>
      </c>
      <c r="M5" s="42" t="n">
        <f aca="false">J5+K5+L5</f>
        <v>0</v>
      </c>
      <c r="N5" s="42" t="n">
        <f aca="false">IF(AND(E5=1,F5=1),M5,"")</f>
        <v>0</v>
      </c>
    </row>
    <row r="6" customFormat="false" ht="15" hidden="false" customHeight="false" outlineLevel="0" collapsed="false">
      <c r="A6" s="35" t="n">
        <v>15</v>
      </c>
      <c r="B6" s="36" t="n">
        <v>11.71</v>
      </c>
      <c r="C6" s="37" t="n">
        <v>0.8</v>
      </c>
      <c r="D6" s="38" t="n">
        <v>0</v>
      </c>
      <c r="E6" s="39" t="n">
        <v>1</v>
      </c>
      <c r="F6" s="39" t="n">
        <v>1</v>
      </c>
      <c r="G6" s="40" t="n">
        <f aca="false">IF(B6&gt;0,$B$5/B6-1,0)</f>
        <v>0.0247651579846284</v>
      </c>
      <c r="H6" s="40" t="n">
        <f aca="false">IF(Исходные!$B$12=1,G6*Исходные!$B$23,0)</f>
        <v>0.0123825789923142</v>
      </c>
      <c r="I6" s="41" t="n">
        <f aca="false">Исходные!$B$4*Исходные!$B$5*(1+H6)</f>
        <v>8099060.63193851</v>
      </c>
      <c r="J6" s="42" t="n">
        <f aca="false">Исходные!$B$4*Исходные!$B$5*H6*(Экономика!$B$6)</f>
        <v>2207709.82066609</v>
      </c>
      <c r="K6" s="42" t="n">
        <f aca="false">I6*Исходные!$B$6*D6*Исходные!$B$23*Исходные!$B$8*Исходные!$B$9*(1-Исходные!$B$10)</f>
        <v>0</v>
      </c>
      <c r="L6" s="42" t="n">
        <f aca="false">-I6*A6/Исходные!$B$16/1000*Исходные!$B$17</f>
        <v>-799249.404467617</v>
      </c>
      <c r="M6" s="42" t="n">
        <f aca="false">J6+K6+L6</f>
        <v>1408460.41619847</v>
      </c>
      <c r="N6" s="42" t="n">
        <f aca="false">IF(AND(E6=1,F6=1),M6,"")</f>
        <v>1408460.41619847</v>
      </c>
    </row>
    <row r="7" customFormat="false" ht="15" hidden="false" customHeight="false" outlineLevel="0" collapsed="false">
      <c r="A7" s="35" t="n">
        <v>30</v>
      </c>
      <c r="B7" s="36" t="n">
        <v>11.48</v>
      </c>
      <c r="C7" s="37" t="n">
        <v>1.6</v>
      </c>
      <c r="D7" s="38" t="n">
        <v>0.001</v>
      </c>
      <c r="E7" s="39" t="n">
        <v>1</v>
      </c>
      <c r="F7" s="39" t="n">
        <v>1</v>
      </c>
      <c r="G7" s="40" t="n">
        <f aca="false">IF(B7&gt;0,$B$5/B7-1,0)</f>
        <v>0.0452961672473868</v>
      </c>
      <c r="H7" s="40" t="n">
        <f aca="false">IF(Исходные!$B$12=1,G7*Исходные!$B$23,0)</f>
        <v>0.0226480836236934</v>
      </c>
      <c r="I7" s="41" t="n">
        <f aca="false">Исходные!$B$4*Исходные!$B$5*(1+H7)</f>
        <v>8181184.66898955</v>
      </c>
      <c r="J7" s="42" t="n">
        <f aca="false">Исходные!$B$4*Исходные!$B$5*H7*(Экономика!$B$6)</f>
        <v>4037963.0662021</v>
      </c>
      <c r="K7" s="42" t="n">
        <f aca="false">I7*Исходные!$B$6*D7*Исходные!$B$23*Исходные!$B$8*Исходные!$B$9*(1-Исходные!$B$10)</f>
        <v>159377.147212544</v>
      </c>
      <c r="L7" s="42" t="n">
        <f aca="false">-I7*A7/Исходные!$B$16/1000*Исходные!$B$17</f>
        <v>-1614707.50045846</v>
      </c>
      <c r="M7" s="42" t="n">
        <f aca="false">J7+K7+L7</f>
        <v>2582632.71295618</v>
      </c>
      <c r="N7" s="42" t="n">
        <f aca="false">IF(AND(E7=1,F7=1),M7,"")</f>
        <v>2582632.71295618</v>
      </c>
    </row>
    <row r="8" customFormat="false" ht="15" hidden="false" customHeight="false" outlineLevel="0" collapsed="false">
      <c r="A8" s="35" t="n">
        <v>50</v>
      </c>
      <c r="B8" s="36" t="n">
        <v>11.32</v>
      </c>
      <c r="C8" s="37" t="n">
        <v>2.4</v>
      </c>
      <c r="D8" s="38" t="n">
        <v>0.002</v>
      </c>
      <c r="E8" s="39" t="n">
        <v>1</v>
      </c>
      <c r="F8" s="39" t="n">
        <v>1</v>
      </c>
      <c r="G8" s="40" t="n">
        <f aca="false">IF(B8&gt;0,$B$5/B8-1,0)</f>
        <v>0.0600706713780919</v>
      </c>
      <c r="H8" s="40" t="n">
        <f aca="false">IF(Исходные!$B$12=1,G8*Исходные!$B$23,0)</f>
        <v>0.0300353356890459</v>
      </c>
      <c r="I8" s="41" t="n">
        <f aca="false">Исходные!$B$4*Исходные!$B$5*(1+H8)</f>
        <v>8240282.68551237</v>
      </c>
      <c r="J8" s="42" t="n">
        <f aca="false">Исходные!$B$4*Исходные!$B$5*H8*(Экономика!$B$6)</f>
        <v>5355048.0565371</v>
      </c>
      <c r="K8" s="42" t="n">
        <f aca="false">I8*Исходные!$B$6*D8*Исходные!$B$23*Исходные!$B$8*Исходные!$B$9*(1-Исходные!$B$10)</f>
        <v>321056.863957597</v>
      </c>
      <c r="L8" s="42" t="n">
        <f aca="false">-I8*A8/Исходные!$B$16/1000*Исходные!$B$17</f>
        <v>-2710619.30444486</v>
      </c>
      <c r="M8" s="42" t="n">
        <f aca="false">J8+K8+L8</f>
        <v>2965485.61604984</v>
      </c>
      <c r="N8" s="42" t="n">
        <f aca="false">IF(AND(E8=1,F8=1),M8,"")</f>
        <v>2965485.61604984</v>
      </c>
    </row>
    <row r="9" customFormat="false" ht="15" hidden="false" customHeight="false" outlineLevel="0" collapsed="false">
      <c r="A9" s="35" t="n">
        <v>75</v>
      </c>
      <c r="B9" s="36" t="n">
        <v>11.24</v>
      </c>
      <c r="C9" s="37" t="n">
        <v>2.8</v>
      </c>
      <c r="D9" s="38" t="n">
        <v>0.002</v>
      </c>
      <c r="E9" s="39" t="n">
        <v>1</v>
      </c>
      <c r="F9" s="39" t="n">
        <v>1</v>
      </c>
      <c r="G9" s="40" t="n">
        <f aca="false">IF(B9&gt;0,$B$5/B9-1,0)</f>
        <v>0.0676156583629892</v>
      </c>
      <c r="H9" s="40" t="n">
        <f aca="false">IF(Исходные!$B$12=1,G9*Исходные!$B$23,0)</f>
        <v>0.0338078291814946</v>
      </c>
      <c r="I9" s="41" t="n">
        <f aca="false">Исходные!$B$4*Исходные!$B$5*(1+H9)</f>
        <v>8270462.63345196</v>
      </c>
      <c r="J9" s="42" t="n">
        <f aca="false">Исходные!$B$4*Исходные!$B$5*H9*(Экономика!$B$6)</f>
        <v>6027651.95729536</v>
      </c>
      <c r="K9" s="42" t="n">
        <f aca="false">I9*Исходные!$B$6*D9*Исходные!$B$23*Исходные!$B$8*Исходные!$B$9*(1-Исходные!$B$10)</f>
        <v>322232.731316726</v>
      </c>
      <c r="L9" s="42" t="n">
        <f aca="false">-I9*A9/Исходные!$B$16/1000*Исходные!$B$17</f>
        <v>-4080820.37834801</v>
      </c>
      <c r="M9" s="42" t="n">
        <f aca="false">J9+K9+L9</f>
        <v>2269064.31026408</v>
      </c>
      <c r="N9" s="42" t="n">
        <f aca="false">IF(AND(E9=1,F9=1),M9,"")</f>
        <v>2269064.31026408</v>
      </c>
    </row>
    <row r="10" customFormat="false" ht="15" hidden="false" customHeight="false" outlineLevel="0" collapsed="false">
      <c r="A10" s="35" t="n">
        <v>100</v>
      </c>
      <c r="B10" s="36" t="n">
        <v>11.19</v>
      </c>
      <c r="C10" s="37" t="n">
        <v>3</v>
      </c>
      <c r="D10" s="38" t="n">
        <v>0.002</v>
      </c>
      <c r="E10" s="39" t="n">
        <v>1</v>
      </c>
      <c r="F10" s="39" t="n">
        <v>1</v>
      </c>
      <c r="G10" s="40" t="n">
        <f aca="false">IF(B10&gt;0,$B$5/B10-1,0)</f>
        <v>0.0723860589812333</v>
      </c>
      <c r="H10" s="40" t="n">
        <f aca="false">IF(Исходные!$B$12=1,G10*Исходные!$B$23,0)</f>
        <v>0.0361930294906166</v>
      </c>
      <c r="I10" s="41" t="n">
        <f aca="false">Исходные!$B$4*Исходные!$B$5*(1+H10)</f>
        <v>8289544.23592493</v>
      </c>
      <c r="J10" s="42" t="n">
        <f aca="false">Исходные!$B$4*Исходные!$B$5*H10*(Экономика!$B$6)</f>
        <v>6452913.13672923</v>
      </c>
      <c r="K10" s="42" t="n">
        <f aca="false">I10*Исходные!$B$6*D10*Исходные!$B$23*Исходные!$B$8*Исходные!$B$9*(1-Исходные!$B$10)</f>
        <v>322976.186327078</v>
      </c>
      <c r="L10" s="42" t="n">
        <f aca="false">-I10*A10/Исходные!$B$16/1000*Исходные!$B$17</f>
        <v>-5453647.52363482</v>
      </c>
      <c r="M10" s="42" t="n">
        <f aca="false">J10+K10+L10</f>
        <v>1322241.79942148</v>
      </c>
      <c r="N10" s="42" t="n">
        <f aca="false">IF(AND(E10=1,F10=1),M10,"")</f>
        <v>1322241.79942148</v>
      </c>
    </row>
    <row r="11" customFormat="false" ht="15" hidden="false" customHeight="false" outlineLevel="0" collapsed="false">
      <c r="A11" s="35" t="n">
        <v>150</v>
      </c>
      <c r="B11" s="36" t="n">
        <v>11.17</v>
      </c>
      <c r="C11" s="37" t="n">
        <v>3.1</v>
      </c>
      <c r="D11" s="38" t="n">
        <v>0.001</v>
      </c>
      <c r="E11" s="39" t="n">
        <v>0</v>
      </c>
      <c r="F11" s="39" t="n">
        <v>1</v>
      </c>
      <c r="G11" s="40" t="n">
        <f aca="false">IF(B11&gt;0,$B$5/B11-1,0)</f>
        <v>0.0743061772605194</v>
      </c>
      <c r="H11" s="40" t="n">
        <f aca="false">IF(Исходные!$B$12=1,G11*Исходные!$B$23,0)</f>
        <v>0.0371530886302597</v>
      </c>
      <c r="I11" s="41" t="n">
        <f aca="false">Исходные!$B$4*Исходные!$B$5*(1+H11)</f>
        <v>8297224.70904208</v>
      </c>
      <c r="J11" s="42" t="n">
        <f aca="false">Исходные!$B$4*Исходные!$B$5*H11*(Экономика!$B$6)</f>
        <v>6624083.6168308</v>
      </c>
      <c r="K11" s="42" t="n">
        <f aca="false">I11*Исходные!$B$6*D11*Исходные!$B$23*Исходные!$B$8*Исходные!$B$9*(1-Исходные!$B$10)</f>
        <v>161637.715980304</v>
      </c>
      <c r="L11" s="42" t="n">
        <f aca="false">-I11*A11/Исходные!$B$16/1000*Исходные!$B$17</f>
        <v>-8188050.69971258</v>
      </c>
      <c r="M11" s="42" t="n">
        <f aca="false">J11+K11+L11</f>
        <v>-1402329.36690147</v>
      </c>
      <c r="N11" s="42" t="str">
        <f aca="false">IF(AND(E11=1,F11=1),M11,"")</f>
        <v/>
      </c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43" t="s">
        <v>131</v>
      </c>
      <c r="B13" s="5"/>
      <c r="C13" s="5"/>
      <c r="D13" s="44" t="n">
        <f aca="false">INDEX(A5:A11,MATCH(MAX(N5:N11),N5:N11,0))</f>
        <v>50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43" t="s">
        <v>132</v>
      </c>
      <c r="B14" s="5"/>
      <c r="C14" s="5"/>
      <c r="D14" s="45" t="n">
        <f aca="false">MAX(N5:N11)</f>
        <v>2965485.61604984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43" t="s">
        <v>133</v>
      </c>
      <c r="B15" s="5"/>
      <c r="C15" s="5"/>
      <c r="D15" s="46" t="n">
        <f aca="false">SUMPRODUCT(MAX((E5:E11=1)*(F5:F11=1)*A5:A11))</f>
        <v>100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43" t="s">
        <v>134</v>
      </c>
      <c r="B16" s="5"/>
      <c r="C16" s="5"/>
      <c r="D16" s="47" t="n">
        <f aca="false">IF(D13&gt;0,D15/D13,0)</f>
        <v>2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31.5" hidden="false" customHeight="true" outlineLevel="0" collapsed="false">
      <c r="A18" s="48" t="s">
        <v>135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</sheetData>
  <mergeCells count="1"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5"/>
  </cols>
  <sheetData>
    <row r="1" customFormat="false" ht="16.15" hidden="false" customHeight="false" outlineLevel="0" collapsed="false">
      <c r="A1" s="4" t="s">
        <v>136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5" t="s">
        <v>137</v>
      </c>
      <c r="B2" s="5"/>
      <c r="C2" s="5"/>
      <c r="D2" s="5"/>
      <c r="E2" s="5"/>
      <c r="F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</row>
    <row r="4" customFormat="false" ht="15" hidden="false" customHeight="false" outlineLevel="0" collapsed="false">
      <c r="A4" s="43" t="s">
        <v>138</v>
      </c>
      <c r="B4" s="5"/>
      <c r="C4" s="5"/>
      <c r="D4" s="5"/>
      <c r="E4" s="5"/>
      <c r="F4" s="5"/>
    </row>
    <row r="5" customFormat="false" ht="15" hidden="false" customHeight="false" outlineLevel="0" collapsed="false">
      <c r="A5" s="43" t="s">
        <v>139</v>
      </c>
      <c r="B5" s="49" t="n">
        <v>1.5</v>
      </c>
      <c r="C5" s="49" t="n">
        <v>2</v>
      </c>
      <c r="D5" s="49" t="n">
        <v>2.5</v>
      </c>
      <c r="E5" s="49" t="n">
        <v>3</v>
      </c>
      <c r="F5" s="49" t="n">
        <v>4</v>
      </c>
    </row>
    <row r="6" customFormat="false" ht="15" hidden="false" customHeight="false" outlineLevel="0" collapsed="false">
      <c r="A6" s="50" t="n">
        <v>0</v>
      </c>
      <c r="B6" s="42" t="n">
        <f aca="false">Исходные!$B$4*Исходные!$B$5*$A6*(Исходные!$B$6*Исходные!$B$7*Исходные!$B$8*Исходные!$B$9*(1-Исходные!$B$10)-Исходные!$B$11)+Исходные!$B$4*Исходные!$B$5*(1+$A6)*Исходные!$B$6*Исходные!$B$20*Исходные!$B$23*Исходные!$B$8*Исходные!$B$9*(1-Исходные!$B$10)-Исходные!$B$4*Исходные!$B$5*(1+$A6)*(Исходные!$B$15/Исходные!$B$16/1000*B$5+Исходные!$B$21/1000*Исходные!$B$22)</f>
        <v>-1267252.36842105</v>
      </c>
      <c r="C6" s="42" t="n">
        <f aca="false">Исходные!$B$4*Исходные!$B$5*$A6*(Исходные!$B$6*Исходные!$B$7*Исходные!$B$8*Исходные!$B$9*(1-Исходные!$B$10)-Исходные!$B$11)+Исходные!$B$4*Исходные!$B$5*(1+$A6)*Исходные!$B$6*Исходные!$B$20*Исходные!$B$23*Исходные!$B$8*Исходные!$B$9*(1-Исходные!$B$10)-Исходные!$B$4*Исходные!$B$5*(1+$A6)*(Исходные!$B$15/Исходные!$B$16/1000*C$5+Исходные!$B$21/1000*Исходные!$B$22)</f>
        <v>-1793568.15789474</v>
      </c>
      <c r="D6" s="42" t="n">
        <f aca="false">Исходные!$B$4*Исходные!$B$5*$A6*(Исходные!$B$6*Исходные!$B$7*Исходные!$B$8*Исходные!$B$9*(1-Исходные!$B$10)-Исходные!$B$11)+Исходные!$B$4*Исходные!$B$5*(1+$A6)*Исходные!$B$6*Исходные!$B$20*Исходные!$B$23*Исходные!$B$8*Исходные!$B$9*(1-Исходные!$B$10)-Исходные!$B$4*Исходные!$B$5*(1+$A6)*(Исходные!$B$15/Исходные!$B$16/1000*D$5+Исходные!$B$21/1000*Исходные!$B$22)</f>
        <v>-2319883.94736842</v>
      </c>
      <c r="E6" s="42" t="n">
        <f aca="false">Исходные!$B$4*Исходные!$B$5*$A6*(Исходные!$B$6*Исходные!$B$7*Исходные!$B$8*Исходные!$B$9*(1-Исходные!$B$10)-Исходные!$B$11)+Исходные!$B$4*Исходные!$B$5*(1+$A6)*Исходные!$B$6*Исходные!$B$20*Исходные!$B$23*Исходные!$B$8*Исходные!$B$9*(1-Исходные!$B$10)-Исходные!$B$4*Исходные!$B$5*(1+$A6)*(Исходные!$B$15/Исходные!$B$16/1000*E$5+Исходные!$B$21/1000*Исходные!$B$22)</f>
        <v>-2846199.73684211</v>
      </c>
      <c r="F6" s="42" t="n">
        <f aca="false">Исходные!$B$4*Исходные!$B$5*$A6*(Исходные!$B$6*Исходные!$B$7*Исходные!$B$8*Исходные!$B$9*(1-Исходные!$B$10)-Исходные!$B$11)+Исходные!$B$4*Исходные!$B$5*(1+$A6)*Исходные!$B$6*Исходные!$B$20*Исходные!$B$23*Исходные!$B$8*Исходные!$B$9*(1-Исходные!$B$10)-Исходные!$B$4*Исходные!$B$5*(1+$A6)*(Исходные!$B$15/Исходные!$B$16/1000*F$5+Исходные!$B$21/1000*Исходные!$B$22)</f>
        <v>-3898831.31578947</v>
      </c>
    </row>
    <row r="7" customFormat="false" ht="15" hidden="false" customHeight="false" outlineLevel="0" collapsed="false">
      <c r="A7" s="50" t="n">
        <v>0.01</v>
      </c>
      <c r="B7" s="42" t="n">
        <f aca="false">Исходные!$B$4*Исходные!$B$5*$A7*(Исходные!$B$6*Исходные!$B$7*Исходные!$B$8*Исходные!$B$9*(1-Исходные!$B$10)-Исходные!$B$11)+Исходные!$B$4*Исходные!$B$5*(1+$A7)*Исходные!$B$6*Исходные!$B$20*Исходные!$B$23*Исходные!$B$8*Исходные!$B$9*(1-Исходные!$B$10)-Исходные!$B$4*Исходные!$B$5*(1+$A7)*(Исходные!$B$15/Исходные!$B$16/1000*B$5+Исходные!$B$21/1000*Исходные!$B$22)</f>
        <v>502991.107894737</v>
      </c>
      <c r="C7" s="42" t="n">
        <f aca="false">Исходные!$B$4*Исходные!$B$5*$A7*(Исходные!$B$6*Исходные!$B$7*Исходные!$B$8*Исходные!$B$9*(1-Исходные!$B$10)-Исходные!$B$11)+Исходные!$B$4*Исходные!$B$5*(1+$A7)*Исходные!$B$6*Исходные!$B$20*Исходные!$B$23*Исходные!$B$8*Исходные!$B$9*(1-Исходные!$B$10)-Исходные!$B$4*Исходные!$B$5*(1+$A7)*(Исходные!$B$15/Исходные!$B$16/1000*C$5+Исходные!$B$21/1000*Исходные!$B$22)</f>
        <v>-28587.8394736843</v>
      </c>
      <c r="D7" s="42" t="n">
        <f aca="false">Исходные!$B$4*Исходные!$B$5*$A7*(Исходные!$B$6*Исходные!$B$7*Исходные!$B$8*Исходные!$B$9*(1-Исходные!$B$10)-Исходные!$B$11)+Исходные!$B$4*Исходные!$B$5*(1+$A7)*Исходные!$B$6*Исходные!$B$20*Исходные!$B$23*Исходные!$B$8*Исходные!$B$9*(1-Исходные!$B$10)-Исходные!$B$4*Исходные!$B$5*(1+$A7)*(Исходные!$B$15/Исходные!$B$16/1000*D$5+Исходные!$B$21/1000*Исходные!$B$22)</f>
        <v>-560166.786842105</v>
      </c>
      <c r="E7" s="42" t="n">
        <f aca="false">Исходные!$B$4*Исходные!$B$5*$A7*(Исходные!$B$6*Исходные!$B$7*Исходные!$B$8*Исходные!$B$9*(1-Исходные!$B$10)-Исходные!$B$11)+Исходные!$B$4*Исходные!$B$5*(1+$A7)*Исходные!$B$6*Исходные!$B$20*Исходные!$B$23*Исходные!$B$8*Исходные!$B$9*(1-Исходные!$B$10)-Исходные!$B$4*Исходные!$B$5*(1+$A7)*(Исходные!$B$15/Исходные!$B$16/1000*E$5+Исходные!$B$21/1000*Исходные!$B$22)</f>
        <v>-1091745.73421053</v>
      </c>
      <c r="F7" s="42" t="n">
        <f aca="false">Исходные!$B$4*Исходные!$B$5*$A7*(Исходные!$B$6*Исходные!$B$7*Исходные!$B$8*Исходные!$B$9*(1-Исходные!$B$10)-Исходные!$B$11)+Исходные!$B$4*Исходные!$B$5*(1+$A7)*Исходные!$B$6*Исходные!$B$20*Исходные!$B$23*Исходные!$B$8*Исходные!$B$9*(1-Исходные!$B$10)-Исходные!$B$4*Исходные!$B$5*(1+$A7)*(Исходные!$B$15/Исходные!$B$16/1000*F$5+Исходные!$B$21/1000*Исходные!$B$22)</f>
        <v>-2154903.62894737</v>
      </c>
    </row>
    <row r="8" customFormat="false" ht="15" hidden="false" customHeight="false" outlineLevel="0" collapsed="false">
      <c r="A8" s="50" t="n">
        <v>0.02</v>
      </c>
      <c r="B8" s="42" t="n">
        <f aca="false">Исходные!$B$4*Исходные!$B$5*$A8*(Исходные!$B$6*Исходные!$B$7*Исходные!$B$8*Исходные!$B$9*(1-Исходные!$B$10)-Исходные!$B$11)+Исходные!$B$4*Исходные!$B$5*(1+$A8)*Исходные!$B$6*Исходные!$B$20*Исходные!$B$23*Исходные!$B$8*Исходные!$B$9*(1-Исходные!$B$10)-Исходные!$B$4*Исходные!$B$5*(1+$A8)*(Исходные!$B$15/Исходные!$B$16/1000*B$5+Исходные!$B$21/1000*Исходные!$B$22)</f>
        <v>2273234.58421053</v>
      </c>
      <c r="C8" s="42" t="n">
        <f aca="false">Исходные!$B$4*Исходные!$B$5*$A8*(Исходные!$B$6*Исходные!$B$7*Исходные!$B$8*Исходные!$B$9*(1-Исходные!$B$10)-Исходные!$B$11)+Исходные!$B$4*Исходные!$B$5*(1+$A8)*Исходные!$B$6*Исходные!$B$20*Исходные!$B$23*Исходные!$B$8*Исходные!$B$9*(1-Исходные!$B$10)-Исходные!$B$4*Исходные!$B$5*(1+$A8)*(Исходные!$B$15/Исходные!$B$16/1000*C$5+Исходные!$B$21/1000*Исходные!$B$22)</f>
        <v>1736392.47894737</v>
      </c>
      <c r="D8" s="42" t="n">
        <f aca="false">Исходные!$B$4*Исходные!$B$5*$A8*(Исходные!$B$6*Исходные!$B$7*Исходные!$B$8*Исходные!$B$9*(1-Исходные!$B$10)-Исходные!$B$11)+Исходные!$B$4*Исходные!$B$5*(1+$A8)*Исходные!$B$6*Исходные!$B$20*Исходные!$B$23*Исходные!$B$8*Исходные!$B$9*(1-Исходные!$B$10)-Исходные!$B$4*Исходные!$B$5*(1+$A8)*(Исходные!$B$15/Исходные!$B$16/1000*D$5+Исходные!$B$21/1000*Исходные!$B$22)</f>
        <v>1199550.37368421</v>
      </c>
      <c r="E8" s="42" t="n">
        <f aca="false">Исходные!$B$4*Исходные!$B$5*$A8*(Исходные!$B$6*Исходные!$B$7*Исходные!$B$8*Исходные!$B$9*(1-Исходные!$B$10)-Исходные!$B$11)+Исходные!$B$4*Исходные!$B$5*(1+$A8)*Исходные!$B$6*Исходные!$B$20*Исходные!$B$23*Исходные!$B$8*Исходные!$B$9*(1-Исходные!$B$10)-Исходные!$B$4*Исходные!$B$5*(1+$A8)*(Исходные!$B$15/Исходные!$B$16/1000*E$5+Исходные!$B$21/1000*Исходные!$B$22)</f>
        <v>662708.268421052</v>
      </c>
      <c r="F8" s="42" t="n">
        <f aca="false">Исходные!$B$4*Исходные!$B$5*$A8*(Исходные!$B$6*Исходные!$B$7*Исходные!$B$8*Исходные!$B$9*(1-Исходные!$B$10)-Исходные!$B$11)+Исходные!$B$4*Исходные!$B$5*(1+$A8)*Исходные!$B$6*Исходные!$B$20*Исходные!$B$23*Исходные!$B$8*Исходные!$B$9*(1-Исходные!$B$10)-Исходные!$B$4*Исходные!$B$5*(1+$A8)*(Исходные!$B$15/Исходные!$B$16/1000*F$5+Исходные!$B$21/1000*Исходные!$B$22)</f>
        <v>-410975.942105264</v>
      </c>
    </row>
    <row r="9" customFormat="false" ht="15" hidden="false" customHeight="false" outlineLevel="0" collapsed="false">
      <c r="A9" s="50" t="n">
        <v>0.03</v>
      </c>
      <c r="B9" s="42" t="n">
        <f aca="false">Исходные!$B$4*Исходные!$B$5*$A9*(Исходные!$B$6*Исходные!$B$7*Исходные!$B$8*Исходные!$B$9*(1-Исходные!$B$10)-Исходные!$B$11)+Исходные!$B$4*Исходные!$B$5*(1+$A9)*Исходные!$B$6*Исходные!$B$20*Исходные!$B$23*Исходные!$B$8*Исходные!$B$9*(1-Исходные!$B$10)-Исходные!$B$4*Исходные!$B$5*(1+$A9)*(Исходные!$B$15/Исходные!$B$16/1000*B$5+Исходные!$B$21/1000*Исходные!$B$22)</f>
        <v>4043478.06052631</v>
      </c>
      <c r="C9" s="42" t="n">
        <f aca="false">Исходные!$B$4*Исходные!$B$5*$A9*(Исходные!$B$6*Исходные!$B$7*Исходные!$B$8*Исходные!$B$9*(1-Исходные!$B$10)-Исходные!$B$11)+Исходные!$B$4*Исходные!$B$5*(1+$A9)*Исходные!$B$6*Исходные!$B$20*Исходные!$B$23*Исходные!$B$8*Исходные!$B$9*(1-Исходные!$B$10)-Исходные!$B$4*Исходные!$B$5*(1+$A9)*(Исходные!$B$15/Исходные!$B$16/1000*C$5+Исходные!$B$21/1000*Исходные!$B$22)</f>
        <v>3501372.79736842</v>
      </c>
      <c r="D9" s="42" t="n">
        <f aca="false">Исходные!$B$4*Исходные!$B$5*$A9*(Исходные!$B$6*Исходные!$B$7*Исходные!$B$8*Исходные!$B$9*(1-Исходные!$B$10)-Исходные!$B$11)+Исходные!$B$4*Исходные!$B$5*(1+$A9)*Исходные!$B$6*Исходные!$B$20*Исходные!$B$23*Исходные!$B$8*Исходные!$B$9*(1-Исходные!$B$10)-Исходные!$B$4*Исходные!$B$5*(1+$A9)*(Исходные!$B$15/Исходные!$B$16/1000*D$5+Исходные!$B$21/1000*Исходные!$B$22)</f>
        <v>2959267.53421053</v>
      </c>
      <c r="E9" s="42" t="n">
        <f aca="false">Исходные!$B$4*Исходные!$B$5*$A9*(Исходные!$B$6*Исходные!$B$7*Исходные!$B$8*Исходные!$B$9*(1-Исходные!$B$10)-Исходные!$B$11)+Исходные!$B$4*Исходные!$B$5*(1+$A9)*Исходные!$B$6*Исходные!$B$20*Исходные!$B$23*Исходные!$B$8*Исходные!$B$9*(1-Исходные!$B$10)-Исходные!$B$4*Исходные!$B$5*(1+$A9)*(Исходные!$B$15/Исходные!$B$16/1000*E$5+Исходные!$B$21/1000*Исходные!$B$22)</f>
        <v>2417162.27105263</v>
      </c>
      <c r="F9" s="42" t="n">
        <f aca="false">Исходные!$B$4*Исходные!$B$5*$A9*(Исходные!$B$6*Исходные!$B$7*Исходные!$B$8*Исходные!$B$9*(1-Исходные!$B$10)-Исходные!$B$11)+Исходные!$B$4*Исходные!$B$5*(1+$A9)*Исходные!$B$6*Исходные!$B$20*Исходные!$B$23*Исходные!$B$8*Исходные!$B$9*(1-Исходные!$B$10)-Исходные!$B$4*Исходные!$B$5*(1+$A9)*(Исходные!$B$15/Исходные!$B$16/1000*F$5+Исходные!$B$21/1000*Исходные!$B$22)</f>
        <v>1332951.74473684</v>
      </c>
    </row>
    <row r="10" customFormat="false" ht="15" hidden="false" customHeight="false" outlineLevel="0" collapsed="false">
      <c r="A10" s="50" t="n">
        <v>0.05</v>
      </c>
      <c r="B10" s="42" t="n">
        <f aca="false">Исходные!$B$4*Исходные!$B$5*$A10*(Исходные!$B$6*Исходные!$B$7*Исходные!$B$8*Исходные!$B$9*(1-Исходные!$B$10)-Исходные!$B$11)+Исходные!$B$4*Исходные!$B$5*(1+$A10)*Исходные!$B$6*Исходные!$B$20*Исходные!$B$23*Исходные!$B$8*Исходные!$B$9*(1-Исходные!$B$10)-Исходные!$B$4*Исходные!$B$5*(1+$A10)*(Исходные!$B$15/Исходные!$B$16/1000*B$5+Исходные!$B$21/1000*Исходные!$B$22)</f>
        <v>7583965.01315789</v>
      </c>
      <c r="C10" s="42" t="n">
        <f aca="false">Исходные!$B$4*Исходные!$B$5*$A10*(Исходные!$B$6*Исходные!$B$7*Исходные!$B$8*Исходные!$B$9*(1-Исходные!$B$10)-Исходные!$B$11)+Исходные!$B$4*Исходные!$B$5*(1+$A10)*Исходные!$B$6*Исходные!$B$20*Исходные!$B$23*Исходные!$B$8*Исходные!$B$9*(1-Исходные!$B$10)-Исходные!$B$4*Исходные!$B$5*(1+$A10)*(Исходные!$B$15/Исходные!$B$16/1000*C$5+Исходные!$B$21/1000*Исходные!$B$22)</f>
        <v>7031333.43421052</v>
      </c>
      <c r="D10" s="42" t="n">
        <f aca="false">Исходные!$B$4*Исходные!$B$5*$A10*(Исходные!$B$6*Исходные!$B$7*Исходные!$B$8*Исходные!$B$9*(1-Исходные!$B$10)-Исходные!$B$11)+Исходные!$B$4*Исходные!$B$5*(1+$A10)*Исходные!$B$6*Исходные!$B$20*Исходные!$B$23*Исходные!$B$8*Исходные!$B$9*(1-Исходные!$B$10)-Исходные!$B$4*Исходные!$B$5*(1+$A10)*(Исходные!$B$15/Исходные!$B$16/1000*D$5+Исходные!$B$21/1000*Исходные!$B$22)</f>
        <v>6478701.85526316</v>
      </c>
      <c r="E10" s="42" t="n">
        <f aca="false">Исходные!$B$4*Исходные!$B$5*$A10*(Исходные!$B$6*Исходные!$B$7*Исходные!$B$8*Исходные!$B$9*(1-Исходные!$B$10)-Исходные!$B$11)+Исходные!$B$4*Исходные!$B$5*(1+$A10)*Исходные!$B$6*Исходные!$B$20*Исходные!$B$23*Исходные!$B$8*Исходные!$B$9*(1-Исходные!$B$10)-Исходные!$B$4*Исходные!$B$5*(1+$A10)*(Исходные!$B$15/Исходные!$B$16/1000*E$5+Исходные!$B$21/1000*Исходные!$B$22)</f>
        <v>5926070.27631579</v>
      </c>
      <c r="F10" s="42" t="n">
        <f aca="false">Исходные!$B$4*Исходные!$B$5*$A10*(Исходные!$B$6*Исходные!$B$7*Исходные!$B$8*Исходные!$B$9*(1-Исходные!$B$10)-Исходные!$B$11)+Исходные!$B$4*Исходные!$B$5*(1+$A10)*Исходные!$B$6*Исходные!$B$20*Исходные!$B$23*Исходные!$B$8*Исходные!$B$9*(1-Исходные!$B$10)-Исходные!$B$4*Исходные!$B$5*(1+$A10)*(Исходные!$B$15/Исходные!$B$16/1000*F$5+Исходные!$B$21/1000*Исходные!$B$22)</f>
        <v>4820807.11842105</v>
      </c>
    </row>
    <row r="11" customFormat="false" ht="15" hidden="false" customHeight="false" outlineLevel="0" collapsed="false">
      <c r="A11" s="50" t="n">
        <v>0.07</v>
      </c>
      <c r="B11" s="42" t="n">
        <f aca="false">Исходные!$B$4*Исходные!$B$5*$A11*(Исходные!$B$6*Исходные!$B$7*Исходные!$B$8*Исходные!$B$9*(1-Исходные!$B$10)-Исходные!$B$11)+Исходные!$B$4*Исходные!$B$5*(1+$A11)*Исходные!$B$6*Исходные!$B$20*Исходные!$B$23*Исходные!$B$8*Исходные!$B$9*(1-Исходные!$B$10)-Исходные!$B$4*Исходные!$B$5*(1+$A11)*(Исходные!$B$15/Исходные!$B$16/1000*B$5+Исходные!$B$21/1000*Исходные!$B$22)</f>
        <v>11124451.9657895</v>
      </c>
      <c r="C11" s="42" t="n">
        <f aca="false">Исходные!$B$4*Исходные!$B$5*$A11*(Исходные!$B$6*Исходные!$B$7*Исходные!$B$8*Исходные!$B$9*(1-Исходные!$B$10)-Исходные!$B$11)+Исходные!$B$4*Исходные!$B$5*(1+$A11)*Исходные!$B$6*Исходные!$B$20*Исходные!$B$23*Исходные!$B$8*Исходные!$B$9*(1-Исходные!$B$10)-Исходные!$B$4*Исходные!$B$5*(1+$A11)*(Исходные!$B$15/Исходные!$B$16/1000*C$5+Исходные!$B$21/1000*Исходные!$B$22)</f>
        <v>10561294.0710526</v>
      </c>
      <c r="D11" s="42" t="n">
        <f aca="false">Исходные!$B$4*Исходные!$B$5*$A11*(Исходные!$B$6*Исходные!$B$7*Исходные!$B$8*Исходные!$B$9*(1-Исходные!$B$10)-Исходные!$B$11)+Исходные!$B$4*Исходные!$B$5*(1+$A11)*Исходные!$B$6*Исходные!$B$20*Исходные!$B$23*Исходные!$B$8*Исходные!$B$9*(1-Исходные!$B$10)-Исходные!$B$4*Исходные!$B$5*(1+$A11)*(Исходные!$B$15/Исходные!$B$16/1000*D$5+Исходные!$B$21/1000*Исходные!$B$22)</f>
        <v>9998136.17631579</v>
      </c>
      <c r="E11" s="42" t="n">
        <f aca="false">Исходные!$B$4*Исходные!$B$5*$A11*(Исходные!$B$6*Исходные!$B$7*Исходные!$B$8*Исходные!$B$9*(1-Исходные!$B$10)-Исходные!$B$11)+Исходные!$B$4*Исходные!$B$5*(1+$A11)*Исходные!$B$6*Исходные!$B$20*Исходные!$B$23*Исходные!$B$8*Исходные!$B$9*(1-Исходные!$B$10)-Исходные!$B$4*Исходные!$B$5*(1+$A11)*(Исходные!$B$15/Исходные!$B$16/1000*E$5+Исходные!$B$21/1000*Исходные!$B$22)</f>
        <v>9434978.28157894</v>
      </c>
      <c r="F11" s="42" t="n">
        <f aca="false">Исходные!$B$4*Исходные!$B$5*$A11*(Исходные!$B$6*Исходные!$B$7*Исходные!$B$8*Исходные!$B$9*(1-Исходные!$B$10)-Исходные!$B$11)+Исходные!$B$4*Исходные!$B$5*(1+$A11)*Исходные!$B$6*Исходные!$B$20*Исходные!$B$23*Исходные!$B$8*Исходные!$B$9*(1-Исходные!$B$10)-Исходные!$B$4*Исходные!$B$5*(1+$A11)*(Исходные!$B$15/Исходные!$B$16/1000*F$5+Исходные!$B$21/1000*Исходные!$B$22)</f>
        <v>8308662.49210526</v>
      </c>
    </row>
    <row r="12" customFormat="false" ht="15" hidden="false" customHeight="false" outlineLevel="0" collapsed="false">
      <c r="A12" s="50" t="n">
        <v>0.1</v>
      </c>
      <c r="B12" s="42" t="n">
        <f aca="false">Исходные!$B$4*Исходные!$B$5*$A12*(Исходные!$B$6*Исходные!$B$7*Исходные!$B$8*Исходные!$B$9*(1-Исходные!$B$10)-Исходные!$B$11)+Исходные!$B$4*Исходные!$B$5*(1+$A12)*Исходные!$B$6*Исходные!$B$20*Исходные!$B$23*Исходные!$B$8*Исходные!$B$9*(1-Исходные!$B$10)-Исходные!$B$4*Исходные!$B$5*(1+$A12)*(Исходные!$B$15/Исходные!$B$16/1000*B$5+Исходные!$B$21/1000*Исходные!$B$22)</f>
        <v>16435182.3947368</v>
      </c>
      <c r="C12" s="42" t="n">
        <f aca="false">Исходные!$B$4*Исходные!$B$5*$A12*(Исходные!$B$6*Исходные!$B$7*Исходные!$B$8*Исходные!$B$9*(1-Исходные!$B$10)-Исходные!$B$11)+Исходные!$B$4*Исходные!$B$5*(1+$A12)*Исходные!$B$6*Исходные!$B$20*Исходные!$B$23*Исходные!$B$8*Исходные!$B$9*(1-Исходные!$B$10)-Исходные!$B$4*Исходные!$B$5*(1+$A12)*(Исходные!$B$15/Исходные!$B$16/1000*C$5+Исходные!$B$21/1000*Исходные!$B$22)</f>
        <v>15856235.0263158</v>
      </c>
      <c r="D12" s="42" t="n">
        <f aca="false">Исходные!$B$4*Исходные!$B$5*$A12*(Исходные!$B$6*Исходные!$B$7*Исходные!$B$8*Исходные!$B$9*(1-Исходные!$B$10)-Исходные!$B$11)+Исходные!$B$4*Исходные!$B$5*(1+$A12)*Исходные!$B$6*Исходные!$B$20*Исходные!$B$23*Исходные!$B$8*Исходные!$B$9*(1-Исходные!$B$10)-Исходные!$B$4*Исходные!$B$5*(1+$A12)*(Исходные!$B$15/Исходные!$B$16/1000*D$5+Исходные!$B$21/1000*Исходные!$B$22)</f>
        <v>15277287.6578947</v>
      </c>
      <c r="E12" s="42" t="n">
        <f aca="false">Исходные!$B$4*Исходные!$B$5*$A12*(Исходные!$B$6*Исходные!$B$7*Исходные!$B$8*Исходные!$B$9*(1-Исходные!$B$10)-Исходные!$B$11)+Исходные!$B$4*Исходные!$B$5*(1+$A12)*Исходные!$B$6*Исходные!$B$20*Исходные!$B$23*Исходные!$B$8*Исходные!$B$9*(1-Исходные!$B$10)-Исходные!$B$4*Исходные!$B$5*(1+$A12)*(Исходные!$B$15/Исходные!$B$16/1000*E$5+Исходные!$B$21/1000*Исходные!$B$22)</f>
        <v>14698340.2894737</v>
      </c>
      <c r="F12" s="42" t="n">
        <f aca="false">Исходные!$B$4*Исходные!$B$5*$A12*(Исходные!$B$6*Исходные!$B$7*Исходные!$B$8*Исходные!$B$9*(1-Исходные!$B$10)-Исходные!$B$11)+Исходные!$B$4*Исходные!$B$5*(1+$A12)*Исходные!$B$6*Исходные!$B$20*Исходные!$B$23*Исходные!$B$8*Исходные!$B$9*(1-Исходные!$B$10)-Исходные!$B$4*Исходные!$B$5*(1+$A12)*(Исходные!$B$15/Исходные!$B$16/1000*F$5+Исходные!$B$21/1000*Исходные!$B$22)</f>
        <v>13540445.5526316</v>
      </c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43" t="s">
        <v>140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43" t="s">
        <v>141</v>
      </c>
      <c r="B16" s="51" t="n">
        <v>7000</v>
      </c>
      <c r="C16" s="51" t="n">
        <v>8000</v>
      </c>
      <c r="D16" s="51" t="n">
        <v>9500</v>
      </c>
      <c r="E16" s="51" t="n">
        <v>11000</v>
      </c>
      <c r="F16" s="51" t="n">
        <v>12500</v>
      </c>
    </row>
    <row r="17" customFormat="false" ht="15" hidden="false" customHeight="false" outlineLevel="0" collapsed="false">
      <c r="A17" s="50" t="n">
        <v>0</v>
      </c>
      <c r="B17" s="42" t="n">
        <f aca="false">Исходные!$B$4*Исходные!$B$5*$A17*(Исходные!$B$6*Исходные!$B$7*Исходные!$B$8*B$16*(1-Исходные!$B$10)-Исходные!$B$11)+Исходные!$B$4*Исходные!$B$5*(1+$A17)*Исходные!$B$6*Исходные!$B$20*Исходные!$B$23*Исходные!$B$8*B$16*(1-Исходные!$B$10)-Исходные!$B$4*Исходные!$B$5*(1+$A17)*(Исходные!$B$15/Исходные!$B$16/1000*Исходные!$B$17+Исходные!$B$21/1000*Исходные!$B$22)</f>
        <v>-2401908.94736842</v>
      </c>
      <c r="C17" s="42" t="n">
        <f aca="false">Исходные!$B$4*Исходные!$B$5*$A17*(Исходные!$B$6*Исходные!$B$7*Исходные!$B$8*C$16*(1-Исходные!$B$10)-Исходные!$B$11)+Исходные!$B$4*Исходные!$B$5*(1+$A17)*Исходные!$B$6*Исходные!$B$20*Исходные!$B$23*Исходные!$B$8*C$16*(1-Исходные!$B$10)-Исходные!$B$4*Исходные!$B$5*(1+$A17)*(Исходные!$B$15/Исходные!$B$16/1000*Исходные!$B$17+Исходные!$B$21/1000*Исходные!$B$22)</f>
        <v>-2369098.94736842</v>
      </c>
      <c r="D17" s="42" t="n">
        <f aca="false">Исходные!$B$4*Исходные!$B$5*$A17*(Исходные!$B$6*Исходные!$B$7*Исходные!$B$8*D$16*(1-Исходные!$B$10)-Исходные!$B$11)+Исходные!$B$4*Исходные!$B$5*(1+$A17)*Исходные!$B$6*Исходные!$B$20*Исходные!$B$23*Исходные!$B$8*D$16*(1-Исходные!$B$10)-Исходные!$B$4*Исходные!$B$5*(1+$A17)*(Исходные!$B$15/Исходные!$B$16/1000*Исходные!$B$17+Исходные!$B$21/1000*Исходные!$B$22)</f>
        <v>-2319883.94736842</v>
      </c>
      <c r="E17" s="42" t="n">
        <f aca="false">Исходные!$B$4*Исходные!$B$5*$A17*(Исходные!$B$6*Исходные!$B$7*Исходные!$B$8*E$16*(1-Исходные!$B$10)-Исходные!$B$11)+Исходные!$B$4*Исходные!$B$5*(1+$A17)*Исходные!$B$6*Исходные!$B$20*Исходные!$B$23*Исходные!$B$8*E$16*(1-Исходные!$B$10)-Исходные!$B$4*Исходные!$B$5*(1+$A17)*(Исходные!$B$15/Исходные!$B$16/1000*Исходные!$B$17+Исходные!$B$21/1000*Исходные!$B$22)</f>
        <v>-2270668.94736842</v>
      </c>
      <c r="F17" s="42" t="n">
        <f aca="false">Исходные!$B$4*Исходные!$B$5*$A17*(Исходные!$B$6*Исходные!$B$7*Исходные!$B$8*F$16*(1-Исходные!$B$10)-Исходные!$B$11)+Исходные!$B$4*Исходные!$B$5*(1+$A17)*Исходные!$B$6*Исходные!$B$20*Исходные!$B$23*Исходные!$B$8*F$16*(1-Исходные!$B$10)-Исходные!$B$4*Исходные!$B$5*(1+$A17)*(Исходные!$B$15/Исходные!$B$16/1000*Исходные!$B$17+Исходные!$B$21/1000*Исходные!$B$22)</f>
        <v>-2221453.94736842</v>
      </c>
    </row>
    <row r="18" customFormat="false" ht="15" hidden="false" customHeight="false" outlineLevel="0" collapsed="false">
      <c r="A18" s="50" t="n">
        <v>0.01</v>
      </c>
      <c r="B18" s="42" t="n">
        <f aca="false">Исходные!$B$4*Исходные!$B$5*$A18*(Исходные!$B$6*Исходные!$B$7*Исходные!$B$8*B$16*(1-Исходные!$B$10)-Исходные!$B$11)+Исходные!$B$4*Исходные!$B$5*(1+$A18)*Исходные!$B$6*Исходные!$B$20*Исходные!$B$23*Исходные!$B$8*B$16*(1-Исходные!$B$10)-Исходные!$B$4*Исходные!$B$5*(1+$A18)*(Исходные!$B$15/Исходные!$B$16/1000*Исходные!$B$17+Исходные!$B$21/1000*Исходные!$B$22)</f>
        <v>-1364832.03684211</v>
      </c>
      <c r="C18" s="42" t="n">
        <f aca="false">Исходные!$B$4*Исходные!$B$5*$A18*(Исходные!$B$6*Исходные!$B$7*Исходные!$B$8*C$16*(1-Исходные!$B$10)-Исходные!$B$11)+Исходные!$B$4*Исходные!$B$5*(1+$A18)*Исходные!$B$6*Исходные!$B$20*Исходные!$B$23*Исходные!$B$8*C$16*(1-Исходные!$B$10)-Исходные!$B$4*Исходные!$B$5*(1+$A18)*(Исходные!$B$15/Исходные!$B$16/1000*Исходные!$B$17+Исходные!$B$21/1000*Исходные!$B$22)</f>
        <v>-1042965.93684211</v>
      </c>
      <c r="D18" s="42" t="n">
        <f aca="false">Исходные!$B$4*Исходные!$B$5*$A18*(Исходные!$B$6*Исходные!$B$7*Исходные!$B$8*D$16*(1-Исходные!$B$10)-Исходные!$B$11)+Исходные!$B$4*Исходные!$B$5*(1+$A18)*Исходные!$B$6*Исходные!$B$20*Исходные!$B$23*Исходные!$B$8*D$16*(1-Исходные!$B$10)-Исходные!$B$4*Исходные!$B$5*(1+$A18)*(Исходные!$B$15/Исходные!$B$16/1000*Исходные!$B$17+Исходные!$B$21/1000*Исходные!$B$22)</f>
        <v>-560166.786842105</v>
      </c>
      <c r="E18" s="42" t="n">
        <f aca="false">Исходные!$B$4*Исходные!$B$5*$A18*(Исходные!$B$6*Исходные!$B$7*Исходные!$B$8*E$16*(1-Исходные!$B$10)-Исходные!$B$11)+Исходные!$B$4*Исходные!$B$5*(1+$A18)*Исходные!$B$6*Исходные!$B$20*Исходные!$B$23*Исходные!$B$8*E$16*(1-Исходные!$B$10)-Исходные!$B$4*Исходные!$B$5*(1+$A18)*(Исходные!$B$15/Исходные!$B$16/1000*Исходные!$B$17+Исходные!$B$21/1000*Исходные!$B$22)</f>
        <v>-77367.6368421051</v>
      </c>
      <c r="F18" s="42" t="n">
        <f aca="false">Исходные!$B$4*Исходные!$B$5*$A18*(Исходные!$B$6*Исходные!$B$7*Исходные!$B$8*F$16*(1-Исходные!$B$10)-Исходные!$B$11)+Исходные!$B$4*Исходные!$B$5*(1+$A18)*Исходные!$B$6*Исходные!$B$20*Исходные!$B$23*Исходные!$B$8*F$16*(1-Исходные!$B$10)-Исходные!$B$4*Исходные!$B$5*(1+$A18)*(Исходные!$B$15/Исходные!$B$16/1000*Исходные!$B$17+Исходные!$B$21/1000*Исходные!$B$22)</f>
        <v>405431.513157894</v>
      </c>
    </row>
    <row r="19" customFormat="false" ht="15" hidden="false" customHeight="false" outlineLevel="0" collapsed="false">
      <c r="A19" s="50" t="n">
        <v>0.02</v>
      </c>
      <c r="B19" s="42" t="n">
        <f aca="false">Исходные!$B$4*Исходные!$B$5*$A19*(Исходные!$B$6*Исходные!$B$7*Исходные!$B$8*B$16*(1-Исходные!$B$10)-Исходные!$B$11)+Исходные!$B$4*Исходные!$B$5*(1+$A19)*Исходные!$B$6*Исходные!$B$20*Исходные!$B$23*Исходные!$B$8*B$16*(1-Исходные!$B$10)-Исходные!$B$4*Исходные!$B$5*(1+$A19)*(Исходные!$B$15/Исходные!$B$16/1000*Исходные!$B$17+Исходные!$B$21/1000*Исходные!$B$22)</f>
        <v>-327755.12631579</v>
      </c>
      <c r="C19" s="42" t="n">
        <f aca="false">Исходные!$B$4*Исходные!$B$5*$A19*(Исходные!$B$6*Исходные!$B$7*Исходные!$B$8*C$16*(1-Исходные!$B$10)-Исходные!$B$11)+Исходные!$B$4*Исходные!$B$5*(1+$A19)*Исходные!$B$6*Исходные!$B$20*Исходные!$B$23*Исходные!$B$8*C$16*(1-Исходные!$B$10)-Исходные!$B$4*Исходные!$B$5*(1+$A19)*(Исходные!$B$15/Исходные!$B$16/1000*Исходные!$B$17+Исходные!$B$21/1000*Исходные!$B$22)</f>
        <v>283167.07368421</v>
      </c>
      <c r="D19" s="42" t="n">
        <f aca="false">Исходные!$B$4*Исходные!$B$5*$A19*(Исходные!$B$6*Исходные!$B$7*Исходные!$B$8*D$16*(1-Исходные!$B$10)-Исходные!$B$11)+Исходные!$B$4*Исходные!$B$5*(1+$A19)*Исходные!$B$6*Исходные!$B$20*Исходные!$B$23*Исходные!$B$8*D$16*(1-Исходные!$B$10)-Исходные!$B$4*Исходные!$B$5*(1+$A19)*(Исходные!$B$15/Исходные!$B$16/1000*Исходные!$B$17+Исходные!$B$21/1000*Исходные!$B$22)</f>
        <v>1199550.37368421</v>
      </c>
      <c r="E19" s="42" t="n">
        <f aca="false">Исходные!$B$4*Исходные!$B$5*$A19*(Исходные!$B$6*Исходные!$B$7*Исходные!$B$8*E$16*(1-Исходные!$B$10)-Исходные!$B$11)+Исходные!$B$4*Исходные!$B$5*(1+$A19)*Исходные!$B$6*Исходные!$B$20*Исходные!$B$23*Исходные!$B$8*E$16*(1-Исходные!$B$10)-Исходные!$B$4*Исходные!$B$5*(1+$A19)*(Исходные!$B$15/Исходные!$B$16/1000*Исходные!$B$17+Исходные!$B$21/1000*Исходные!$B$22)</f>
        <v>2115933.67368421</v>
      </c>
      <c r="F19" s="42" t="n">
        <f aca="false">Исходные!$B$4*Исходные!$B$5*$A19*(Исходные!$B$6*Исходные!$B$7*Исходные!$B$8*F$16*(1-Исходные!$B$10)-Исходные!$B$11)+Исходные!$B$4*Исходные!$B$5*(1+$A19)*Исходные!$B$6*Исходные!$B$20*Исходные!$B$23*Исходные!$B$8*F$16*(1-Исходные!$B$10)-Исходные!$B$4*Исходные!$B$5*(1+$A19)*(Исходные!$B$15/Исходные!$B$16/1000*Исходные!$B$17+Исходные!$B$21/1000*Исходные!$B$22)</f>
        <v>3032316.97368421</v>
      </c>
    </row>
    <row r="20" customFormat="false" ht="15" hidden="false" customHeight="false" outlineLevel="0" collapsed="false">
      <c r="A20" s="50" t="n">
        <v>0.03</v>
      </c>
      <c r="B20" s="42" t="n">
        <f aca="false">Исходные!$B$4*Исходные!$B$5*$A20*(Исходные!$B$6*Исходные!$B$7*Исходные!$B$8*B$16*(1-Исходные!$B$10)-Исходные!$B$11)+Исходные!$B$4*Исходные!$B$5*(1+$A20)*Исходные!$B$6*Исходные!$B$20*Исходные!$B$23*Исходные!$B$8*B$16*(1-Исходные!$B$10)-Исходные!$B$4*Исходные!$B$5*(1+$A20)*(Исходные!$B$15/Исходные!$B$16/1000*Исходные!$B$17+Исходные!$B$21/1000*Исходные!$B$22)</f>
        <v>709321.784210526</v>
      </c>
      <c r="C20" s="42" t="n">
        <f aca="false">Исходные!$B$4*Исходные!$B$5*$A20*(Исходные!$B$6*Исходные!$B$7*Исходные!$B$8*C$16*(1-Исходные!$B$10)-Исходные!$B$11)+Исходные!$B$4*Исходные!$B$5*(1+$A20)*Исходные!$B$6*Исходные!$B$20*Исходные!$B$23*Исходные!$B$8*C$16*(1-Исходные!$B$10)-Исходные!$B$4*Исходные!$B$5*(1+$A20)*(Исходные!$B$15/Исходные!$B$16/1000*Исходные!$B$17+Исходные!$B$21/1000*Исходные!$B$22)</f>
        <v>1609300.08421053</v>
      </c>
      <c r="D20" s="42" t="n">
        <f aca="false">Исходные!$B$4*Исходные!$B$5*$A20*(Исходные!$B$6*Исходные!$B$7*Исходные!$B$8*D$16*(1-Исходные!$B$10)-Исходные!$B$11)+Исходные!$B$4*Исходные!$B$5*(1+$A20)*Исходные!$B$6*Исходные!$B$20*Исходные!$B$23*Исходные!$B$8*D$16*(1-Исходные!$B$10)-Исходные!$B$4*Исходные!$B$5*(1+$A20)*(Исходные!$B$15/Исходные!$B$16/1000*Исходные!$B$17+Исходные!$B$21/1000*Исходные!$B$22)</f>
        <v>2959267.53421053</v>
      </c>
      <c r="E20" s="42" t="n">
        <f aca="false">Исходные!$B$4*Исходные!$B$5*$A20*(Исходные!$B$6*Исходные!$B$7*Исходные!$B$8*E$16*(1-Исходные!$B$10)-Исходные!$B$11)+Исходные!$B$4*Исходные!$B$5*(1+$A20)*Исходные!$B$6*Исходные!$B$20*Исходные!$B$23*Исходные!$B$8*E$16*(1-Исходные!$B$10)-Исходные!$B$4*Исходные!$B$5*(1+$A20)*(Исходные!$B$15/Исходные!$B$16/1000*Исходные!$B$17+Исходные!$B$21/1000*Исходные!$B$22)</f>
        <v>4309234.98421053</v>
      </c>
      <c r="F20" s="42" t="n">
        <f aca="false">Исходные!$B$4*Исходные!$B$5*$A20*(Исходные!$B$6*Исходные!$B$7*Исходные!$B$8*F$16*(1-Исходные!$B$10)-Исходные!$B$11)+Исходные!$B$4*Исходные!$B$5*(1+$A20)*Исходные!$B$6*Исходные!$B$20*Исходные!$B$23*Исходные!$B$8*F$16*(1-Исходные!$B$10)-Исходные!$B$4*Исходные!$B$5*(1+$A20)*(Исходные!$B$15/Исходные!$B$16/1000*Исходные!$B$17+Исходные!$B$21/1000*Исходные!$B$22)</f>
        <v>5659202.43421053</v>
      </c>
    </row>
    <row r="21" customFormat="false" ht="15" hidden="false" customHeight="false" outlineLevel="0" collapsed="false">
      <c r="A21" s="50" t="n">
        <v>0.05</v>
      </c>
      <c r="B21" s="42" t="n">
        <f aca="false">Исходные!$B$4*Исходные!$B$5*$A21*(Исходные!$B$6*Исходные!$B$7*Исходные!$B$8*B$16*(1-Исходные!$B$10)-Исходные!$B$11)+Исходные!$B$4*Исходные!$B$5*(1+$A21)*Исходные!$B$6*Исходные!$B$20*Исходные!$B$23*Исходные!$B$8*B$16*(1-Исходные!$B$10)-Исходные!$B$4*Исходные!$B$5*(1+$A21)*(Исходные!$B$15/Исходные!$B$16/1000*Исходные!$B$17+Исходные!$B$21/1000*Исходные!$B$22)</f>
        <v>2783475.60526316</v>
      </c>
      <c r="C21" s="42" t="n">
        <f aca="false">Исходные!$B$4*Исходные!$B$5*$A21*(Исходные!$B$6*Исходные!$B$7*Исходные!$B$8*C$16*(1-Исходные!$B$10)-Исходные!$B$11)+Исходные!$B$4*Исходные!$B$5*(1+$A21)*Исходные!$B$6*Исходные!$B$20*Исходные!$B$23*Исходные!$B$8*C$16*(1-Исходные!$B$10)-Исходные!$B$4*Исходные!$B$5*(1+$A21)*(Исходные!$B$15/Исходные!$B$16/1000*Исходные!$B$17+Исходные!$B$21/1000*Исходные!$B$22)</f>
        <v>4261566.10526316</v>
      </c>
      <c r="D21" s="42" t="n">
        <f aca="false">Исходные!$B$4*Исходные!$B$5*$A21*(Исходные!$B$6*Исходные!$B$7*Исходные!$B$8*D$16*(1-Исходные!$B$10)-Исходные!$B$11)+Исходные!$B$4*Исходные!$B$5*(1+$A21)*Исходные!$B$6*Исходные!$B$20*Исходные!$B$23*Исходные!$B$8*D$16*(1-Исходные!$B$10)-Исходные!$B$4*Исходные!$B$5*(1+$A21)*(Исходные!$B$15/Исходные!$B$16/1000*Исходные!$B$17+Исходные!$B$21/1000*Исходные!$B$22)</f>
        <v>6478701.85526316</v>
      </c>
      <c r="E21" s="42" t="n">
        <f aca="false">Исходные!$B$4*Исходные!$B$5*$A21*(Исходные!$B$6*Исходные!$B$7*Исходные!$B$8*E$16*(1-Исходные!$B$10)-Исходные!$B$11)+Исходные!$B$4*Исходные!$B$5*(1+$A21)*Исходные!$B$6*Исходные!$B$20*Исходные!$B$23*Исходные!$B$8*E$16*(1-Исходные!$B$10)-Исходные!$B$4*Исходные!$B$5*(1+$A21)*(Исходные!$B$15/Исходные!$B$16/1000*Исходные!$B$17+Исходные!$B$21/1000*Исходные!$B$22)</f>
        <v>8695837.60526316</v>
      </c>
      <c r="F21" s="42" t="n">
        <f aca="false">Исходные!$B$4*Исходные!$B$5*$A21*(Исходные!$B$6*Исходные!$B$7*Исходные!$B$8*F$16*(1-Исходные!$B$10)-Исходные!$B$11)+Исходные!$B$4*Исходные!$B$5*(1+$A21)*Исходные!$B$6*Исходные!$B$20*Исходные!$B$23*Исходные!$B$8*F$16*(1-Исходные!$B$10)-Исходные!$B$4*Исходные!$B$5*(1+$A21)*(Исходные!$B$15/Исходные!$B$16/1000*Исходные!$B$17+Исходные!$B$21/1000*Исходные!$B$22)</f>
        <v>10912973.3552632</v>
      </c>
    </row>
    <row r="22" customFormat="false" ht="15" hidden="false" customHeight="false" outlineLevel="0" collapsed="false">
      <c r="A22" s="50" t="n">
        <v>0.07</v>
      </c>
      <c r="B22" s="42" t="n">
        <f aca="false">Исходные!$B$4*Исходные!$B$5*$A22*(Исходные!$B$6*Исходные!$B$7*Исходные!$B$8*B$16*(1-Исходные!$B$10)-Исходные!$B$11)+Исходные!$B$4*Исходные!$B$5*(1+$A22)*Исходные!$B$6*Исходные!$B$20*Исходные!$B$23*Исходные!$B$8*B$16*(1-Исходные!$B$10)-Исходные!$B$4*Исходные!$B$5*(1+$A22)*(Исходные!$B$15/Исходные!$B$16/1000*Исходные!$B$17+Исходные!$B$21/1000*Исходные!$B$22)</f>
        <v>4857629.42631579</v>
      </c>
      <c r="C22" s="42" t="n">
        <f aca="false">Исходные!$B$4*Исходные!$B$5*$A22*(Исходные!$B$6*Исходные!$B$7*Исходные!$B$8*C$16*(1-Исходные!$B$10)-Исходные!$B$11)+Исходные!$B$4*Исходные!$B$5*(1+$A22)*Исходные!$B$6*Исходные!$B$20*Исходные!$B$23*Исходные!$B$8*C$16*(1-Исходные!$B$10)-Исходные!$B$4*Исходные!$B$5*(1+$A22)*(Исходные!$B$15/Исходные!$B$16/1000*Исходные!$B$17+Исходные!$B$21/1000*Исходные!$B$22)</f>
        <v>6913832.12631579</v>
      </c>
      <c r="D22" s="42" t="n">
        <f aca="false">Исходные!$B$4*Исходные!$B$5*$A22*(Исходные!$B$6*Исходные!$B$7*Исходные!$B$8*D$16*(1-Исходные!$B$10)-Исходные!$B$11)+Исходные!$B$4*Исходные!$B$5*(1+$A22)*Исходные!$B$6*Исходные!$B$20*Исходные!$B$23*Исходные!$B$8*D$16*(1-Исходные!$B$10)-Исходные!$B$4*Исходные!$B$5*(1+$A22)*(Исходные!$B$15/Исходные!$B$16/1000*Исходные!$B$17+Исходные!$B$21/1000*Исходные!$B$22)</f>
        <v>9998136.17631579</v>
      </c>
      <c r="E22" s="42" t="n">
        <f aca="false">Исходные!$B$4*Исходные!$B$5*$A22*(Исходные!$B$6*Исходные!$B$7*Исходные!$B$8*E$16*(1-Исходные!$B$10)-Исходные!$B$11)+Исходные!$B$4*Исходные!$B$5*(1+$A22)*Исходные!$B$6*Исходные!$B$20*Исходные!$B$23*Исходные!$B$8*E$16*(1-Исходные!$B$10)-Исходные!$B$4*Исходные!$B$5*(1+$A22)*(Исходные!$B$15/Исходные!$B$16/1000*Исходные!$B$17+Исходные!$B$21/1000*Исходные!$B$22)</f>
        <v>13082440.2263158</v>
      </c>
      <c r="F22" s="42" t="n">
        <f aca="false">Исходные!$B$4*Исходные!$B$5*$A22*(Исходные!$B$6*Исходные!$B$7*Исходные!$B$8*F$16*(1-Исходные!$B$10)-Исходные!$B$11)+Исходные!$B$4*Исходные!$B$5*(1+$A22)*Исходные!$B$6*Исходные!$B$20*Исходные!$B$23*Исходные!$B$8*F$16*(1-Исходные!$B$10)-Исходные!$B$4*Исходные!$B$5*(1+$A22)*(Исходные!$B$15/Исходные!$B$16/1000*Исходные!$B$17+Исходные!$B$21/1000*Исходные!$B$22)</f>
        <v>16166744.2763158</v>
      </c>
    </row>
    <row r="23" customFormat="false" ht="15" hidden="false" customHeight="false" outlineLevel="0" collapsed="false">
      <c r="A23" s="50" t="n">
        <v>0.1</v>
      </c>
      <c r="B23" s="42" t="n">
        <f aca="false">Исходные!$B$4*Исходные!$B$5*$A23*(Исходные!$B$6*Исходные!$B$7*Исходные!$B$8*B$16*(1-Исходные!$B$10)-Исходные!$B$11)+Исходные!$B$4*Исходные!$B$5*(1+$A23)*Исходные!$B$6*Исходные!$B$20*Исходные!$B$23*Исходные!$B$8*B$16*(1-Исходные!$B$10)-Исходные!$B$4*Исходные!$B$5*(1+$A23)*(Исходные!$B$15/Исходные!$B$16/1000*Исходные!$B$17+Исходные!$B$21/1000*Исходные!$B$22)</f>
        <v>7968860.15789473</v>
      </c>
      <c r="C23" s="42" t="n">
        <f aca="false">Исходные!$B$4*Исходные!$B$5*$A23*(Исходные!$B$6*Исходные!$B$7*Исходные!$B$8*C$16*(1-Исходные!$B$10)-Исходные!$B$11)+Исходные!$B$4*Исходные!$B$5*(1+$A23)*Исходные!$B$6*Исходные!$B$20*Исходные!$B$23*Исходные!$B$8*C$16*(1-Исходные!$B$10)-Исходные!$B$4*Исходные!$B$5*(1+$A23)*(Исходные!$B$15/Исходные!$B$16/1000*Исходные!$B$17+Исходные!$B$21/1000*Исходные!$B$22)</f>
        <v>10892231.1578947</v>
      </c>
      <c r="D23" s="42" t="n">
        <f aca="false">Исходные!$B$4*Исходные!$B$5*$A23*(Исходные!$B$6*Исходные!$B$7*Исходные!$B$8*D$16*(1-Исходные!$B$10)-Исходные!$B$11)+Исходные!$B$4*Исходные!$B$5*(1+$A23)*Исходные!$B$6*Исходные!$B$20*Исходные!$B$23*Исходные!$B$8*D$16*(1-Исходные!$B$10)-Исходные!$B$4*Исходные!$B$5*(1+$A23)*(Исходные!$B$15/Исходные!$B$16/1000*Исходные!$B$17+Исходные!$B$21/1000*Исходные!$B$22)</f>
        <v>15277287.6578947</v>
      </c>
      <c r="E23" s="42" t="n">
        <f aca="false">Исходные!$B$4*Исходные!$B$5*$A23*(Исходные!$B$6*Исходные!$B$7*Исходные!$B$8*E$16*(1-Исходные!$B$10)-Исходные!$B$11)+Исходные!$B$4*Исходные!$B$5*(1+$A23)*Исходные!$B$6*Исходные!$B$20*Исходные!$B$23*Исходные!$B$8*E$16*(1-Исходные!$B$10)-Исходные!$B$4*Исходные!$B$5*(1+$A23)*(Исходные!$B$15/Исходные!$B$16/1000*Исходные!$B$17+Исходные!$B$21/1000*Исходные!$B$22)</f>
        <v>19662344.1578947</v>
      </c>
      <c r="F23" s="42" t="n">
        <f aca="false">Исходные!$B$4*Исходные!$B$5*$A23*(Исходные!$B$6*Исходные!$B$7*Исходные!$B$8*F$16*(1-Исходные!$B$10)-Исходные!$B$11)+Исходные!$B$4*Исходные!$B$5*(1+$A23)*Исходные!$B$6*Исходные!$B$20*Исходные!$B$23*Исходные!$B$8*F$16*(1-Исходные!$B$10)-Исходные!$B$4*Исходные!$B$5*(1+$A23)*(Исходные!$B$15/Исходные!$B$16/1000*Исходные!$B$17+Исходные!$B$21/1000*Исходные!$B$22)</f>
        <v>24047400.6578947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8"/>
  </cols>
  <sheetData>
    <row r="1" customFormat="false" ht="16.15" hidden="false" customHeight="false" outlineLevel="0" collapsed="false">
      <c r="A1" s="4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Format="false" ht="15" hidden="false" customHeight="false" outlineLevel="0" collapsed="false">
      <c r="A2" s="5" t="s">
        <v>143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customFormat="false" ht="15" hidden="false" customHeight="false" outlineLevel="0" collapsed="false">
      <c r="A3" s="5"/>
      <c r="B3" s="43" t="s">
        <v>144</v>
      </c>
      <c r="C3" s="5"/>
      <c r="D3" s="52" t="n">
        <v>0.35</v>
      </c>
      <c r="E3" s="52" t="n">
        <v>0.35</v>
      </c>
      <c r="F3" s="5"/>
      <c r="G3" s="5"/>
      <c r="H3" s="5"/>
      <c r="I3" s="5"/>
      <c r="J3" s="5"/>
      <c r="K3" s="52" t="n">
        <v>0.3</v>
      </c>
      <c r="L3" s="5"/>
      <c r="M3" s="5"/>
    </row>
    <row r="4" customFormat="false" ht="45" hidden="false" customHeight="true" outlineLevel="0" collapsed="false">
      <c r="A4" s="6" t="s">
        <v>145</v>
      </c>
      <c r="B4" s="6" t="s">
        <v>146</v>
      </c>
      <c r="C4" s="6" t="s">
        <v>147</v>
      </c>
      <c r="D4" s="6" t="s">
        <v>148</v>
      </c>
      <c r="E4" s="6" t="s">
        <v>149</v>
      </c>
      <c r="F4" s="6" t="s">
        <v>150</v>
      </c>
      <c r="G4" s="6" t="s">
        <v>151</v>
      </c>
      <c r="H4" s="6" t="s">
        <v>152</v>
      </c>
      <c r="I4" s="6" t="s">
        <v>153</v>
      </c>
      <c r="J4" s="6" t="s">
        <v>154</v>
      </c>
      <c r="K4" s="6" t="s">
        <v>155</v>
      </c>
      <c r="L4" s="6" t="s">
        <v>156</v>
      </c>
      <c r="M4" s="6" t="s">
        <v>157</v>
      </c>
    </row>
    <row r="5" customFormat="false" ht="15" hidden="false" customHeight="false" outlineLevel="0" collapsed="false">
      <c r="A5" s="53" t="s">
        <v>158</v>
      </c>
      <c r="B5" s="53" t="s">
        <v>159</v>
      </c>
      <c r="C5" s="37" t="n">
        <v>28</v>
      </c>
      <c r="D5" s="37" t="n">
        <v>1.8</v>
      </c>
      <c r="E5" s="37" t="n">
        <v>4</v>
      </c>
      <c r="F5" s="53" t="n">
        <v>0</v>
      </c>
      <c r="G5" s="53" t="n">
        <v>1</v>
      </c>
      <c r="H5" s="53" t="n">
        <v>1</v>
      </c>
      <c r="I5" s="54" t="n">
        <v>1.6</v>
      </c>
      <c r="J5" s="55" t="n">
        <v>0.4</v>
      </c>
      <c r="K5" s="56" t="n">
        <f aca="false">50/J5/1000*I5</f>
        <v>0.2</v>
      </c>
      <c r="L5" s="57" t="n">
        <f aca="false">F5*G5*H5*($D$3*D5/MAX($D$5:$D$12)+$E$3*E5/MAX($E$5:$E$12)+$K$3*MIN($K$5:$K$12)/K5)</f>
        <v>0</v>
      </c>
      <c r="M5" s="58" t="str">
        <f aca="false">IF(L5&gt;0,RANK(L5,$L$5:$L$12),"—")</f>
        <v>—</v>
      </c>
    </row>
    <row r="6" customFormat="false" ht="15" hidden="false" customHeight="false" outlineLevel="0" collapsed="false">
      <c r="A6" s="53" t="s">
        <v>160</v>
      </c>
      <c r="B6" s="53" t="s">
        <v>161</v>
      </c>
      <c r="C6" s="37" t="n">
        <v>30</v>
      </c>
      <c r="D6" s="37" t="n">
        <v>2</v>
      </c>
      <c r="E6" s="37" t="n">
        <v>4.5</v>
      </c>
      <c r="F6" s="53" t="n">
        <v>1</v>
      </c>
      <c r="G6" s="53" t="n">
        <v>1</v>
      </c>
      <c r="H6" s="53" t="n">
        <v>1</v>
      </c>
      <c r="I6" s="54" t="n">
        <v>1.9</v>
      </c>
      <c r="J6" s="55" t="n">
        <v>0.4</v>
      </c>
      <c r="K6" s="56" t="n">
        <f aca="false">50/J6/1000*I6</f>
        <v>0.2375</v>
      </c>
      <c r="L6" s="57" t="n">
        <f aca="false">F6*G6*H6*($D$3*D6/MAX($D$5:$D$12)+$E$3*E6/MAX($E$5:$E$12)+$K$3*MIN($K$5:$K$12)/K6)</f>
        <v>0.795131578947368</v>
      </c>
      <c r="M6" s="58" t="n">
        <f aca="false">IF(L6&gt;0,RANK(L6,$L$5:$L$12),"—")</f>
        <v>4</v>
      </c>
    </row>
    <row r="7" customFormat="false" ht="15" hidden="false" customHeight="false" outlineLevel="0" collapsed="false">
      <c r="A7" s="53" t="s">
        <v>162</v>
      </c>
      <c r="B7" s="53" t="s">
        <v>163</v>
      </c>
      <c r="C7" s="37" t="n">
        <v>33</v>
      </c>
      <c r="D7" s="37" t="n">
        <v>2.3</v>
      </c>
      <c r="E7" s="37" t="n">
        <v>5.5</v>
      </c>
      <c r="F7" s="53" t="n">
        <v>1</v>
      </c>
      <c r="G7" s="53" t="n">
        <v>1</v>
      </c>
      <c r="H7" s="53" t="n">
        <v>1</v>
      </c>
      <c r="I7" s="54" t="n">
        <v>2.2</v>
      </c>
      <c r="J7" s="55" t="n">
        <v>0.4</v>
      </c>
      <c r="K7" s="56" t="n">
        <f aca="false">50/J7/1000*I7</f>
        <v>0.275</v>
      </c>
      <c r="L7" s="57" t="n">
        <f aca="false">F7*G7*H7*($D$3*D7/MAX($D$5:$D$12)+$E$3*E7/MAX($E$5:$E$12)+$K$3*MIN($K$5:$K$12)/K7)</f>
        <v>0.861015151515151</v>
      </c>
      <c r="M7" s="58" t="n">
        <f aca="false">IF(L7&gt;0,RANK(L7,$L$5:$L$12),"—")</f>
        <v>2</v>
      </c>
    </row>
    <row r="8" customFormat="false" ht="15" hidden="false" customHeight="false" outlineLevel="0" collapsed="false">
      <c r="A8" s="53" t="s">
        <v>164</v>
      </c>
      <c r="B8" s="53" t="s">
        <v>165</v>
      </c>
      <c r="C8" s="37" t="n">
        <v>29</v>
      </c>
      <c r="D8" s="37" t="n">
        <v>2</v>
      </c>
      <c r="E8" s="37" t="n">
        <v>5</v>
      </c>
      <c r="F8" s="53" t="n">
        <v>1</v>
      </c>
      <c r="G8" s="53" t="n">
        <v>1</v>
      </c>
      <c r="H8" s="53" t="n">
        <v>1</v>
      </c>
      <c r="I8" s="54" t="n">
        <v>2.6</v>
      </c>
      <c r="J8" s="55" t="n">
        <v>0.4</v>
      </c>
      <c r="K8" s="56" t="n">
        <f aca="false">50/J8/1000*I8</f>
        <v>0.325</v>
      </c>
      <c r="L8" s="57" t="n">
        <f aca="false">F8*G8*H8*($D$3*D8/MAX($D$5:$D$12)+$E$3*E8/MAX($E$5:$E$12)+$K$3*MIN($K$5:$K$12)/K8)</f>
        <v>0.756282051282051</v>
      </c>
      <c r="M8" s="58" t="n">
        <f aca="false">IF(L8&gt;0,RANK(L8,$L$5:$L$12),"—")</f>
        <v>6</v>
      </c>
    </row>
    <row r="9" customFormat="false" ht="15" hidden="false" customHeight="false" outlineLevel="0" collapsed="false">
      <c r="A9" s="53" t="s">
        <v>166</v>
      </c>
      <c r="B9" s="53" t="s">
        <v>167</v>
      </c>
      <c r="C9" s="37" t="n">
        <v>35</v>
      </c>
      <c r="D9" s="37" t="n">
        <v>2.5</v>
      </c>
      <c r="E9" s="37" t="n">
        <v>5.8</v>
      </c>
      <c r="F9" s="53" t="n">
        <v>1</v>
      </c>
      <c r="G9" s="53" t="n">
        <v>1</v>
      </c>
      <c r="H9" s="53" t="n">
        <v>1</v>
      </c>
      <c r="I9" s="54" t="n">
        <v>3</v>
      </c>
      <c r="J9" s="55" t="n">
        <v>0.4</v>
      </c>
      <c r="K9" s="56" t="n">
        <f aca="false">50/J9/1000*I9</f>
        <v>0.375</v>
      </c>
      <c r="L9" s="57" t="n">
        <f aca="false">F9*G9*H9*($D$3*D9/MAX($D$5:$D$12)+$E$3*E9/MAX($E$5:$E$12)+$K$3*MIN($K$5:$K$12)/K9)</f>
        <v>0.848333333333333</v>
      </c>
      <c r="M9" s="58" t="n">
        <f aca="false">IF(L9&gt;0,RANK(L9,$L$5:$L$12),"—")</f>
        <v>3</v>
      </c>
    </row>
    <row r="10" customFormat="false" ht="15" hidden="false" customHeight="false" outlineLevel="0" collapsed="false">
      <c r="A10" s="53" t="s">
        <v>168</v>
      </c>
      <c r="B10" s="53" t="s">
        <v>169</v>
      </c>
      <c r="C10" s="37" t="n">
        <v>36</v>
      </c>
      <c r="D10" s="37" t="n">
        <v>2.5</v>
      </c>
      <c r="E10" s="37" t="n">
        <v>6</v>
      </c>
      <c r="F10" s="53" t="n">
        <v>1</v>
      </c>
      <c r="G10" s="53" t="n">
        <v>1</v>
      </c>
      <c r="H10" s="53" t="n">
        <v>1</v>
      </c>
      <c r="I10" s="54" t="n">
        <v>2.5</v>
      </c>
      <c r="J10" s="55" t="n">
        <v>0.38</v>
      </c>
      <c r="K10" s="56" t="n">
        <f aca="false">50/J10/1000*I10</f>
        <v>0.328947368421053</v>
      </c>
      <c r="L10" s="57" t="n">
        <f aca="false">F10*G10*H10*($D$3*D10/MAX($D$5:$D$12)+$E$3*E10/MAX($E$5:$E$12)+$K$3*MIN($K$5:$K$12)/K10)</f>
        <v>0.8824</v>
      </c>
      <c r="M10" s="58" t="n">
        <f aca="false">IF(L10&gt;0,RANK(L10,$L$5:$L$12),"—")</f>
        <v>1</v>
      </c>
    </row>
    <row r="11" customFormat="false" ht="15" hidden="false" customHeight="false" outlineLevel="0" collapsed="false">
      <c r="A11" s="53" t="s">
        <v>170</v>
      </c>
      <c r="B11" s="53" t="s">
        <v>171</v>
      </c>
      <c r="C11" s="37" t="n">
        <v>31</v>
      </c>
      <c r="D11" s="37" t="n">
        <v>2.1</v>
      </c>
      <c r="E11" s="37" t="n">
        <v>5</v>
      </c>
      <c r="F11" s="53" t="n">
        <v>1</v>
      </c>
      <c r="G11" s="53" t="n">
        <v>1</v>
      </c>
      <c r="H11" s="53" t="n">
        <v>0</v>
      </c>
      <c r="I11" s="54" t="n">
        <v>2.8</v>
      </c>
      <c r="J11" s="55" t="n">
        <v>0.4</v>
      </c>
      <c r="K11" s="56" t="n">
        <f aca="false">50/J11/1000*I11</f>
        <v>0.35</v>
      </c>
      <c r="L11" s="57" t="n">
        <f aca="false">F11*G11*H11*($D$3*D11/MAX($D$5:$D$12)+$E$3*E11/MAX($E$5:$E$12)+$K$3*MIN($K$5:$K$12)/K11)</f>
        <v>0</v>
      </c>
      <c r="M11" s="58" t="str">
        <f aca="false">IF(L11&gt;0,RANK(L11,$L$5:$L$12),"—")</f>
        <v>—</v>
      </c>
    </row>
    <row r="12" customFormat="false" ht="15" hidden="false" customHeight="false" outlineLevel="0" collapsed="false">
      <c r="A12" s="53" t="s">
        <v>172</v>
      </c>
      <c r="B12" s="53" t="s">
        <v>173</v>
      </c>
      <c r="C12" s="37" t="n">
        <v>34</v>
      </c>
      <c r="D12" s="37" t="n">
        <v>2.4</v>
      </c>
      <c r="E12" s="37" t="n">
        <v>5.7</v>
      </c>
      <c r="F12" s="53" t="n">
        <v>1</v>
      </c>
      <c r="G12" s="53" t="n">
        <v>1</v>
      </c>
      <c r="H12" s="53" t="n">
        <v>1</v>
      </c>
      <c r="I12" s="54" t="n">
        <v>4</v>
      </c>
      <c r="J12" s="55" t="n">
        <v>0.35</v>
      </c>
      <c r="K12" s="56" t="n">
        <f aca="false">50/J12/1000*I12</f>
        <v>0.571428571428571</v>
      </c>
      <c r="L12" s="57" t="n">
        <f aca="false">F12*G12*H12*($D$3*D12/MAX($D$5:$D$12)+$E$3*E12/MAX($E$5:$E$12)+$K$3*MIN($K$5:$K$12)/K12)</f>
        <v>0.7735</v>
      </c>
      <c r="M12" s="58" t="n">
        <f aca="false">IF(L12&gt;0,RANK(L12,$L$5:$L$12),"—")</f>
        <v>5</v>
      </c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" hidden="false" customHeight="true" outlineLevel="0" collapsed="false">
      <c r="A14" s="48" t="s">
        <v>174</v>
      </c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</sheetData>
  <mergeCells count="1">
    <mergeCell ref="A14:M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2026-09-30T11:18:20Z</dcterms:created>
  <dc:creator>openpyxl</dc:creator>
  <dc:description/>
  <dc:language>en-US</dc:language>
  <cp:lastModifiedBy/>
  <dcterms:modified xsi:type="dcterms:W3CDTF">2026-09-30T11:18:20Z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